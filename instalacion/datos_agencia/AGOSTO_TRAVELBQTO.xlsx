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ver\OneDrive\Desktop\"/>
    </mc:Choice>
  </mc:AlternateContent>
  <bookViews>
    <workbookView xWindow="0" yWindow="0" windowWidth="22260" windowHeight="12645" firstSheet="20" activeTab="23"/>
  </bookViews>
  <sheets>
    <sheet name="CAYO MUERTO (01-08)" sheetId="2" r:id="rId1"/>
    <sheet name="COBRANZA CAYO MUERTO (01-08)" sheetId="3" r:id="rId2"/>
    <sheet name="DUNAS (01-08)" sheetId="4" r:id="rId3"/>
    <sheet name="COBRANZA DUNAS (01-08)" sheetId="5" r:id="rId4"/>
    <sheet name="CUBIRO (02-08)" sheetId="6" r:id="rId5"/>
    <sheet name="COBRANZA CUBIRO (02-08)" sheetId="7" r:id="rId6"/>
    <sheet name="VARADERO (08-08)" sheetId="8" r:id="rId7"/>
    <sheet name="COBRANZA VARADERO (08-08)" sheetId="9" r:id="rId8"/>
    <sheet name="CAYO MUERTO (15-08)" sheetId="10" r:id="rId9"/>
    <sheet name="COBRANZA CAYO MUERTO (15-08)" sheetId="11" r:id="rId10"/>
    <sheet name="CAYO MUERTO 2 (15-08)" sheetId="12" r:id="rId11"/>
    <sheet name="COBRANZA CAYO MUERTO 2 (15-08)" sheetId="13" r:id="rId12"/>
    <sheet name="TOUR FALCON (15-08)" sheetId="14" r:id="rId13"/>
    <sheet name="COBRANZA TOUR FALCON (15-08)" sheetId="15" r:id="rId14"/>
    <sheet name="CASCADA DEL VINO (16-08)" sheetId="16" r:id="rId15"/>
    <sheet name="COBRANZA CASCADA VINO (16-08)" sheetId="17" r:id="rId16"/>
    <sheet name="PLAYA (22-08)" sheetId="18" r:id="rId17"/>
    <sheet name="COBRANZA PLAYA (22-08)" sheetId="19" r:id="rId18"/>
    <sheet name="LA GRIETA (22-08)" sheetId="20" r:id="rId19"/>
    <sheet name="COBRANZA GRIETA (22-08)" sheetId="21" r:id="rId20"/>
    <sheet name="CHORONI (22-08)" sheetId="22" r:id="rId21"/>
    <sheet name="COBRANZA CHORONI (22-08)" sheetId="23" r:id="rId22"/>
    <sheet name="CAYO SOMBRERO (23-08)" sheetId="24" r:id="rId23"/>
    <sheet name="COBRANZA CAYO SOMBRERO (23-08)" sheetId="25" r:id="rId24"/>
  </sheets>
  <externalReferences>
    <externalReference r:id="rId25"/>
  </externalReferences>
  <definedNames>
    <definedName name="wilmery" localSheetId="14">#REF!</definedName>
    <definedName name="wilmery" localSheetId="0">#REF!</definedName>
    <definedName name="wilmery" localSheetId="8">#REF!</definedName>
    <definedName name="wilmery" localSheetId="10">#REF!</definedName>
    <definedName name="wilmery" localSheetId="22">#REF!</definedName>
    <definedName name="wilmery" localSheetId="20">#REF!</definedName>
    <definedName name="wilmery" localSheetId="15">#REF!</definedName>
    <definedName name="wilmery" localSheetId="1">#REF!</definedName>
    <definedName name="wilmery" localSheetId="9">#REF!</definedName>
    <definedName name="wilmery" localSheetId="11">#REF!</definedName>
    <definedName name="wilmery" localSheetId="23">#REF!</definedName>
    <definedName name="wilmery" localSheetId="21">#REF!</definedName>
    <definedName name="wilmery" localSheetId="5">#REF!</definedName>
    <definedName name="wilmery" localSheetId="3">#REF!</definedName>
    <definedName name="wilmery" localSheetId="19">#REF!</definedName>
    <definedName name="wilmery" localSheetId="17">#REF!</definedName>
    <definedName name="wilmery" localSheetId="13">#REF!</definedName>
    <definedName name="wilmery" localSheetId="7">#REF!</definedName>
    <definedName name="wilmery" localSheetId="4">#REF!</definedName>
    <definedName name="wilmery" localSheetId="2">#REF!</definedName>
    <definedName name="wilmery" localSheetId="18">#REF!</definedName>
    <definedName name="wilmery" localSheetId="16">#REF!</definedName>
    <definedName name="wilmery" localSheetId="12">#REF!</definedName>
    <definedName name="wilmery" localSheetId="6">#REF!</definedName>
    <definedName name="wilmer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5" i="25" l="1"/>
  <c r="D58" i="25"/>
  <c r="D57" i="25"/>
  <c r="N50" i="25"/>
  <c r="F36" i="25"/>
  <c r="D36" i="25"/>
  <c r="C36" i="25"/>
  <c r="E34" i="25"/>
  <c r="B34" i="25"/>
  <c r="E33" i="25"/>
  <c r="B33" i="25"/>
  <c r="E32" i="25"/>
  <c r="B32" i="25"/>
  <c r="E31" i="25"/>
  <c r="B31" i="25"/>
  <c r="E30" i="25"/>
  <c r="B30" i="25"/>
  <c r="E29" i="25"/>
  <c r="B29" i="25"/>
  <c r="E28" i="25"/>
  <c r="B28" i="25"/>
  <c r="E27" i="25"/>
  <c r="B27" i="25"/>
  <c r="E26" i="25"/>
  <c r="B26" i="25"/>
  <c r="E25" i="25"/>
  <c r="B25" i="25"/>
  <c r="E24" i="25"/>
  <c r="B24" i="25"/>
  <c r="E23" i="25"/>
  <c r="B23" i="25"/>
  <c r="E22" i="25"/>
  <c r="B22" i="25"/>
  <c r="E21" i="25"/>
  <c r="B21" i="25"/>
  <c r="E20" i="25"/>
  <c r="B20" i="25"/>
  <c r="E19" i="25"/>
  <c r="B19" i="25"/>
  <c r="E18" i="25"/>
  <c r="B18" i="25"/>
  <c r="E17" i="25"/>
  <c r="B17" i="25"/>
  <c r="E16" i="25"/>
  <c r="B16" i="25"/>
  <c r="E15" i="25"/>
  <c r="B15" i="25"/>
  <c r="E14" i="25"/>
  <c r="B14" i="25"/>
  <c r="E13" i="25"/>
  <c r="B13" i="25"/>
  <c r="E12" i="25"/>
  <c r="B12" i="25"/>
  <c r="E11" i="25"/>
  <c r="B11" i="25"/>
  <c r="E10" i="25"/>
  <c r="B10" i="25"/>
  <c r="E9" i="25"/>
  <c r="B9" i="25"/>
  <c r="E8" i="25"/>
  <c r="B8" i="25"/>
  <c r="E7" i="25"/>
  <c r="E36" i="25" s="1"/>
  <c r="B7" i="25"/>
  <c r="E6" i="25"/>
  <c r="B6" i="25"/>
  <c r="E5" i="25"/>
  <c r="B5" i="25"/>
  <c r="E4" i="25"/>
  <c r="B4" i="25"/>
  <c r="D123" i="23"/>
  <c r="F36" i="23"/>
  <c r="D36" i="23"/>
  <c r="C36" i="23"/>
  <c r="E34" i="23"/>
  <c r="B34" i="23"/>
  <c r="E33" i="23"/>
  <c r="B33" i="23"/>
  <c r="E32" i="23"/>
  <c r="B32" i="23"/>
  <c r="E31" i="23"/>
  <c r="B31" i="23"/>
  <c r="E30" i="23"/>
  <c r="B30" i="23"/>
  <c r="E29" i="23"/>
  <c r="B29" i="23"/>
  <c r="E28" i="23"/>
  <c r="B28" i="23"/>
  <c r="E27" i="23"/>
  <c r="B27" i="23"/>
  <c r="E26" i="23"/>
  <c r="B26" i="23"/>
  <c r="E25" i="23"/>
  <c r="B25" i="23"/>
  <c r="E24" i="23"/>
  <c r="B24" i="23"/>
  <c r="E23" i="23"/>
  <c r="B23" i="23"/>
  <c r="E22" i="23"/>
  <c r="B22" i="23"/>
  <c r="E21" i="23"/>
  <c r="B21" i="23"/>
  <c r="E20" i="23"/>
  <c r="B20" i="23"/>
  <c r="E19" i="23"/>
  <c r="B19" i="23"/>
  <c r="E18" i="23"/>
  <c r="B18" i="23"/>
  <c r="E17" i="23"/>
  <c r="B17" i="23"/>
  <c r="E16" i="23"/>
  <c r="B16" i="23"/>
  <c r="E15" i="23"/>
  <c r="B15" i="23"/>
  <c r="E14" i="23"/>
  <c r="B14" i="23"/>
  <c r="E13" i="23"/>
  <c r="B13" i="23"/>
  <c r="E12" i="23"/>
  <c r="B12" i="23"/>
  <c r="E11" i="23"/>
  <c r="B11" i="23"/>
  <c r="E10" i="23"/>
  <c r="B10" i="23"/>
  <c r="E9" i="23"/>
  <c r="B9" i="23"/>
  <c r="E8" i="23"/>
  <c r="B8" i="23"/>
  <c r="E7" i="23"/>
  <c r="B7" i="23"/>
  <c r="E6" i="23"/>
  <c r="B6" i="23"/>
  <c r="E5" i="23"/>
  <c r="B5" i="23"/>
  <c r="E4" i="23"/>
  <c r="B4" i="23"/>
  <c r="F36" i="21"/>
  <c r="D36" i="21"/>
  <c r="C36" i="21"/>
  <c r="E34" i="21"/>
  <c r="B34" i="21"/>
  <c r="E33" i="21"/>
  <c r="B33" i="21"/>
  <c r="E32" i="21"/>
  <c r="B32" i="21"/>
  <c r="E31" i="21"/>
  <c r="B31" i="21"/>
  <c r="E30" i="21"/>
  <c r="B30" i="21"/>
  <c r="E29" i="21"/>
  <c r="B29" i="21"/>
  <c r="E28" i="21"/>
  <c r="B28" i="21"/>
  <c r="E27" i="21"/>
  <c r="B27" i="21"/>
  <c r="E26" i="21"/>
  <c r="B26" i="21"/>
  <c r="E25" i="21"/>
  <c r="B25" i="21"/>
  <c r="E24" i="21"/>
  <c r="B24" i="21"/>
  <c r="E23" i="21"/>
  <c r="B23" i="21"/>
  <c r="E22" i="21"/>
  <c r="B22" i="21"/>
  <c r="E21" i="21"/>
  <c r="B21" i="21"/>
  <c r="E20" i="21"/>
  <c r="B20" i="21"/>
  <c r="E19" i="21"/>
  <c r="B19" i="21"/>
  <c r="E18" i="21"/>
  <c r="B18" i="21"/>
  <c r="E17" i="21"/>
  <c r="B17" i="21"/>
  <c r="E16" i="21"/>
  <c r="B16" i="21"/>
  <c r="E15" i="21"/>
  <c r="B15" i="21"/>
  <c r="E14" i="21"/>
  <c r="B14" i="21"/>
  <c r="E13" i="21"/>
  <c r="B13" i="21"/>
  <c r="E12" i="21"/>
  <c r="B12" i="21"/>
  <c r="E11" i="21"/>
  <c r="B11" i="21"/>
  <c r="E10" i="21"/>
  <c r="B10" i="21"/>
  <c r="E9" i="21"/>
  <c r="B9" i="21"/>
  <c r="E8" i="21"/>
  <c r="B8" i="21"/>
  <c r="E7" i="21"/>
  <c r="B7" i="21"/>
  <c r="E6" i="21"/>
  <c r="B6" i="21"/>
  <c r="E5" i="21"/>
  <c r="B5" i="21"/>
  <c r="E4" i="21"/>
  <c r="B4" i="21"/>
  <c r="E101" i="19"/>
  <c r="F36" i="19"/>
  <c r="D36" i="19"/>
  <c r="C36" i="19"/>
  <c r="E34" i="19"/>
  <c r="B34" i="19"/>
  <c r="E33" i="19"/>
  <c r="B33" i="19"/>
  <c r="E32" i="19"/>
  <c r="B32" i="19"/>
  <c r="E31" i="19"/>
  <c r="B31" i="19"/>
  <c r="E30" i="19"/>
  <c r="B30" i="19"/>
  <c r="E29" i="19"/>
  <c r="B29" i="19"/>
  <c r="E28" i="19"/>
  <c r="B28" i="19"/>
  <c r="E27" i="19"/>
  <c r="B27" i="19"/>
  <c r="E26" i="19"/>
  <c r="B26" i="19"/>
  <c r="E25" i="19"/>
  <c r="B25" i="19"/>
  <c r="E24" i="19"/>
  <c r="B24" i="19"/>
  <c r="E23" i="19"/>
  <c r="B23" i="19"/>
  <c r="E22" i="19"/>
  <c r="B22" i="19"/>
  <c r="E21" i="19"/>
  <c r="B21" i="19"/>
  <c r="E20" i="19"/>
  <c r="B20" i="19"/>
  <c r="E19" i="19"/>
  <c r="B19" i="19"/>
  <c r="E18" i="19"/>
  <c r="B18" i="19"/>
  <c r="E17" i="19"/>
  <c r="B17" i="19"/>
  <c r="E16" i="19"/>
  <c r="B16" i="19"/>
  <c r="E15" i="19"/>
  <c r="B15" i="19"/>
  <c r="E14" i="19"/>
  <c r="B14" i="19"/>
  <c r="E13" i="19"/>
  <c r="B13" i="19"/>
  <c r="E12" i="19"/>
  <c r="B12" i="19"/>
  <c r="E11" i="19"/>
  <c r="B11" i="19"/>
  <c r="E10" i="19"/>
  <c r="B10" i="19"/>
  <c r="E9" i="19"/>
  <c r="B9" i="19"/>
  <c r="E8" i="19"/>
  <c r="B8" i="19"/>
  <c r="E7" i="19"/>
  <c r="B7" i="19"/>
  <c r="E6" i="19"/>
  <c r="B6" i="19"/>
  <c r="E5" i="19"/>
  <c r="B5" i="19"/>
  <c r="E4" i="19"/>
  <c r="E36" i="19" s="1"/>
  <c r="B4" i="19"/>
  <c r="E58" i="17"/>
  <c r="F36" i="17"/>
  <c r="D36" i="17"/>
  <c r="C36" i="17"/>
  <c r="E34" i="17"/>
  <c r="B34" i="17"/>
  <c r="E33" i="17"/>
  <c r="B33" i="17"/>
  <c r="E32" i="17"/>
  <c r="B32" i="17"/>
  <c r="E31" i="17"/>
  <c r="B31" i="17"/>
  <c r="E30" i="17"/>
  <c r="B30" i="17"/>
  <c r="E29" i="17"/>
  <c r="B29" i="17"/>
  <c r="E28" i="17"/>
  <c r="B28" i="17"/>
  <c r="E27" i="17"/>
  <c r="B27" i="17"/>
  <c r="E26" i="17"/>
  <c r="B26" i="17"/>
  <c r="E25" i="17"/>
  <c r="B25" i="17"/>
  <c r="E24" i="17"/>
  <c r="B24" i="17"/>
  <c r="E23" i="17"/>
  <c r="B23" i="17"/>
  <c r="E22" i="17"/>
  <c r="B22" i="17"/>
  <c r="E21" i="17"/>
  <c r="B21" i="17"/>
  <c r="E20" i="17"/>
  <c r="B20" i="17"/>
  <c r="E19" i="17"/>
  <c r="B19" i="17"/>
  <c r="E18" i="17"/>
  <c r="B18" i="17"/>
  <c r="E17" i="17"/>
  <c r="B17" i="17"/>
  <c r="E16" i="17"/>
  <c r="B16" i="17"/>
  <c r="E15" i="17"/>
  <c r="B15" i="17"/>
  <c r="E14" i="17"/>
  <c r="B14" i="17"/>
  <c r="E13" i="17"/>
  <c r="B13" i="17"/>
  <c r="E12" i="17"/>
  <c r="B12" i="17"/>
  <c r="E11" i="17"/>
  <c r="B11" i="17"/>
  <c r="E10" i="17"/>
  <c r="B10" i="17"/>
  <c r="E9" i="17"/>
  <c r="B9" i="17"/>
  <c r="E8" i="17"/>
  <c r="B8" i="17"/>
  <c r="E7" i="17"/>
  <c r="B7" i="17"/>
  <c r="E6" i="17"/>
  <c r="B6" i="17"/>
  <c r="E5" i="17"/>
  <c r="E36" i="17" s="1"/>
  <c r="B5" i="17"/>
  <c r="E4" i="17"/>
  <c r="B4" i="17"/>
  <c r="D109" i="15"/>
  <c r="E102" i="15"/>
  <c r="E101" i="15"/>
  <c r="D96" i="15"/>
  <c r="E80" i="15"/>
  <c r="F36" i="15"/>
  <c r="D36" i="15"/>
  <c r="C36" i="15"/>
  <c r="E34" i="15"/>
  <c r="B34" i="15"/>
  <c r="E33" i="15"/>
  <c r="B33" i="15"/>
  <c r="E32" i="15"/>
  <c r="B32" i="15"/>
  <c r="E31" i="15"/>
  <c r="B31" i="15"/>
  <c r="E30" i="15"/>
  <c r="B30" i="15"/>
  <c r="E29" i="15"/>
  <c r="B29" i="15"/>
  <c r="E28" i="15"/>
  <c r="B28" i="15"/>
  <c r="E27" i="15"/>
  <c r="B27" i="15"/>
  <c r="E26" i="15"/>
  <c r="B26" i="15"/>
  <c r="E25" i="15"/>
  <c r="B25" i="15"/>
  <c r="E24" i="15"/>
  <c r="B24" i="15"/>
  <c r="E23" i="15"/>
  <c r="B23" i="15"/>
  <c r="E22" i="15"/>
  <c r="B22" i="15"/>
  <c r="E21" i="15"/>
  <c r="B21" i="15"/>
  <c r="E20" i="15"/>
  <c r="B20" i="15"/>
  <c r="E19" i="15"/>
  <c r="B19" i="15"/>
  <c r="E18" i="15"/>
  <c r="B18" i="15"/>
  <c r="E17" i="15"/>
  <c r="B17" i="15"/>
  <c r="E16" i="15"/>
  <c r="B16" i="15"/>
  <c r="E15" i="15"/>
  <c r="B15" i="15"/>
  <c r="E14" i="15"/>
  <c r="B14" i="15"/>
  <c r="E13" i="15"/>
  <c r="B13" i="15"/>
  <c r="E12" i="15"/>
  <c r="B12" i="15"/>
  <c r="E11" i="15"/>
  <c r="B11" i="15"/>
  <c r="E10" i="15"/>
  <c r="B10" i="15"/>
  <c r="E9" i="15"/>
  <c r="B9" i="15"/>
  <c r="E8" i="15"/>
  <c r="B8" i="15"/>
  <c r="E7" i="15"/>
  <c r="B7" i="15"/>
  <c r="E6" i="15"/>
  <c r="B6" i="15"/>
  <c r="E5" i="15"/>
  <c r="B5" i="15"/>
  <c r="E4" i="15"/>
  <c r="E36" i="15" s="1"/>
  <c r="B4" i="15"/>
  <c r="F36" i="13"/>
  <c r="D36" i="13"/>
  <c r="C36" i="13"/>
  <c r="E34" i="13"/>
  <c r="B34" i="13"/>
  <c r="E33" i="13"/>
  <c r="B33" i="13"/>
  <c r="E32" i="13"/>
  <c r="B32" i="13"/>
  <c r="E31" i="13"/>
  <c r="B31" i="13"/>
  <c r="E30" i="13"/>
  <c r="B30" i="13"/>
  <c r="E29" i="13"/>
  <c r="B29" i="13"/>
  <c r="E28" i="13"/>
  <c r="B28" i="13"/>
  <c r="E27" i="13"/>
  <c r="B27" i="13"/>
  <c r="E26" i="13"/>
  <c r="B26" i="13"/>
  <c r="E25" i="13"/>
  <c r="B25" i="13"/>
  <c r="E24" i="13"/>
  <c r="B24" i="13"/>
  <c r="E23" i="13"/>
  <c r="B23" i="13"/>
  <c r="E22" i="13"/>
  <c r="B22" i="13"/>
  <c r="E21" i="13"/>
  <c r="B21" i="13"/>
  <c r="E20" i="13"/>
  <c r="B20" i="13"/>
  <c r="E19" i="13"/>
  <c r="B19" i="13"/>
  <c r="E18" i="13"/>
  <c r="B18" i="13"/>
  <c r="E17" i="13"/>
  <c r="B17" i="13"/>
  <c r="E16" i="13"/>
  <c r="B16" i="13"/>
  <c r="E15" i="13"/>
  <c r="B15" i="13"/>
  <c r="E14" i="13"/>
  <c r="B14" i="13"/>
  <c r="E13" i="13"/>
  <c r="B13" i="13"/>
  <c r="E12" i="13"/>
  <c r="B12" i="13"/>
  <c r="E11" i="13"/>
  <c r="B11" i="13"/>
  <c r="E10" i="13"/>
  <c r="B10" i="13"/>
  <c r="E9" i="13"/>
  <c r="B9" i="13"/>
  <c r="E8" i="13"/>
  <c r="B8" i="13"/>
  <c r="E7" i="13"/>
  <c r="B7" i="13"/>
  <c r="E6" i="13"/>
  <c r="B6" i="13"/>
  <c r="E5" i="13"/>
  <c r="E36" i="13" s="1"/>
  <c r="B5" i="13"/>
  <c r="E4" i="13"/>
  <c r="B4" i="13"/>
  <c r="F36" i="11"/>
  <c r="D36" i="11"/>
  <c r="C36" i="11"/>
  <c r="E34" i="11"/>
  <c r="B34" i="11"/>
  <c r="E33" i="11"/>
  <c r="B33" i="11"/>
  <c r="E32" i="11"/>
  <c r="B32" i="11"/>
  <c r="E31" i="11"/>
  <c r="B31" i="11"/>
  <c r="E30" i="11"/>
  <c r="B30" i="11"/>
  <c r="E29" i="11"/>
  <c r="B29" i="11"/>
  <c r="E28" i="11"/>
  <c r="B28" i="11"/>
  <c r="E27" i="11"/>
  <c r="B27" i="11"/>
  <c r="E26" i="11"/>
  <c r="B26" i="11"/>
  <c r="E25" i="11"/>
  <c r="B25" i="11"/>
  <c r="E24" i="11"/>
  <c r="B24" i="11"/>
  <c r="E23" i="11"/>
  <c r="B23" i="11"/>
  <c r="E22" i="11"/>
  <c r="B22" i="11"/>
  <c r="E21" i="11"/>
  <c r="B21" i="11"/>
  <c r="E20" i="11"/>
  <c r="B20" i="11"/>
  <c r="E19" i="11"/>
  <c r="B19" i="11"/>
  <c r="E18" i="11"/>
  <c r="B18" i="11"/>
  <c r="E17" i="11"/>
  <c r="B17" i="11"/>
  <c r="E16" i="11"/>
  <c r="B16" i="11"/>
  <c r="E15" i="11"/>
  <c r="B15" i="11"/>
  <c r="E14" i="11"/>
  <c r="B14" i="11"/>
  <c r="E13" i="11"/>
  <c r="B13" i="11"/>
  <c r="E12" i="11"/>
  <c r="B12" i="11"/>
  <c r="E11" i="11"/>
  <c r="B11" i="11"/>
  <c r="E10" i="11"/>
  <c r="B10" i="11"/>
  <c r="E9" i="11"/>
  <c r="B9" i="11"/>
  <c r="E8" i="11"/>
  <c r="B8" i="11"/>
  <c r="E7" i="11"/>
  <c r="B7" i="11"/>
  <c r="E6" i="11"/>
  <c r="B6" i="11"/>
  <c r="E5" i="11"/>
  <c r="B5" i="11"/>
  <c r="E4" i="11"/>
  <c r="E36" i="11" s="1"/>
  <c r="B4" i="11"/>
  <c r="E63" i="9"/>
  <c r="E61" i="9"/>
  <c r="F36" i="9"/>
  <c r="D36" i="9"/>
  <c r="C36" i="9"/>
  <c r="E34" i="9"/>
  <c r="B34" i="9"/>
  <c r="E33" i="9"/>
  <c r="B33" i="9"/>
  <c r="E32" i="9"/>
  <c r="B32" i="9"/>
  <c r="E31" i="9"/>
  <c r="B31" i="9"/>
  <c r="E30" i="9"/>
  <c r="B30" i="9"/>
  <c r="E29" i="9"/>
  <c r="B29" i="9"/>
  <c r="E28" i="9"/>
  <c r="B28" i="9"/>
  <c r="E27" i="9"/>
  <c r="B27" i="9"/>
  <c r="E26" i="9"/>
  <c r="B26" i="9"/>
  <c r="E25" i="9"/>
  <c r="B25" i="9"/>
  <c r="E24" i="9"/>
  <c r="B24" i="9"/>
  <c r="E23" i="9"/>
  <c r="B23" i="9"/>
  <c r="E22" i="9"/>
  <c r="B22" i="9"/>
  <c r="E21" i="9"/>
  <c r="B21" i="9"/>
  <c r="E20" i="9"/>
  <c r="B20" i="9"/>
  <c r="E19" i="9"/>
  <c r="B19" i="9"/>
  <c r="E18" i="9"/>
  <c r="B18" i="9"/>
  <c r="E17" i="9"/>
  <c r="B17" i="9"/>
  <c r="E16" i="9"/>
  <c r="B16" i="9"/>
  <c r="E15" i="9"/>
  <c r="B15" i="9"/>
  <c r="E14" i="9"/>
  <c r="B14" i="9"/>
  <c r="E13" i="9"/>
  <c r="B13" i="9"/>
  <c r="E12" i="9"/>
  <c r="B12" i="9"/>
  <c r="E11" i="9"/>
  <c r="B11" i="9"/>
  <c r="E10" i="9"/>
  <c r="B10" i="9"/>
  <c r="E9" i="9"/>
  <c r="B9" i="9"/>
  <c r="E8" i="9"/>
  <c r="B8" i="9"/>
  <c r="E7" i="9"/>
  <c r="B7" i="9"/>
  <c r="E6" i="9"/>
  <c r="E36" i="9" s="1"/>
  <c r="B6" i="9"/>
  <c r="E5" i="9"/>
  <c r="B5" i="9"/>
  <c r="E4" i="9"/>
  <c r="B4" i="9"/>
  <c r="F36" i="7"/>
  <c r="D36" i="7"/>
  <c r="C36" i="7"/>
  <c r="E34" i="7"/>
  <c r="B34" i="7"/>
  <c r="E33" i="7"/>
  <c r="B33" i="7"/>
  <c r="E32" i="7"/>
  <c r="B32" i="7"/>
  <c r="E31" i="7"/>
  <c r="B31" i="7"/>
  <c r="E30" i="7"/>
  <c r="B30" i="7"/>
  <c r="E29" i="7"/>
  <c r="B29" i="7"/>
  <c r="E28" i="7"/>
  <c r="B28" i="7"/>
  <c r="E27" i="7"/>
  <c r="B27" i="7"/>
  <c r="E26" i="7"/>
  <c r="B26" i="7"/>
  <c r="E25" i="7"/>
  <c r="B25" i="7"/>
  <c r="E24" i="7"/>
  <c r="B24" i="7"/>
  <c r="E23" i="7"/>
  <c r="B23" i="7"/>
  <c r="E22" i="7"/>
  <c r="B22" i="7"/>
  <c r="E21" i="7"/>
  <c r="B21" i="7"/>
  <c r="E20" i="7"/>
  <c r="B20" i="7"/>
  <c r="E19" i="7"/>
  <c r="B19" i="7"/>
  <c r="E18" i="7"/>
  <c r="B18" i="7"/>
  <c r="E17" i="7"/>
  <c r="B17" i="7"/>
  <c r="E16" i="7"/>
  <c r="B16" i="7"/>
  <c r="E15" i="7"/>
  <c r="B15" i="7"/>
  <c r="E14" i="7"/>
  <c r="B14" i="7"/>
  <c r="E13" i="7"/>
  <c r="B13" i="7"/>
  <c r="E12" i="7"/>
  <c r="B12" i="7"/>
  <c r="E11" i="7"/>
  <c r="B11" i="7"/>
  <c r="E10" i="7"/>
  <c r="B10" i="7"/>
  <c r="E9" i="7"/>
  <c r="B9" i="7"/>
  <c r="E8" i="7"/>
  <c r="B8" i="7"/>
  <c r="E7" i="7"/>
  <c r="B7" i="7"/>
  <c r="E6" i="7"/>
  <c r="B6" i="7"/>
  <c r="E5" i="7"/>
  <c r="B5" i="7"/>
  <c r="E4" i="7"/>
  <c r="E36" i="7" s="1"/>
  <c r="B4" i="7"/>
  <c r="F36" i="5"/>
  <c r="D36" i="5"/>
  <c r="C36" i="5"/>
  <c r="E34" i="5"/>
  <c r="B34" i="5"/>
  <c r="E33" i="5"/>
  <c r="B33" i="5"/>
  <c r="E32" i="5"/>
  <c r="B32" i="5"/>
  <c r="E31" i="5"/>
  <c r="B31" i="5"/>
  <c r="E30" i="5"/>
  <c r="B30" i="5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21" i="5"/>
  <c r="B21" i="5"/>
  <c r="E20" i="5"/>
  <c r="B20" i="5"/>
  <c r="E19" i="5"/>
  <c r="B19" i="5"/>
  <c r="E18" i="5"/>
  <c r="B18" i="5"/>
  <c r="E17" i="5"/>
  <c r="B17" i="5"/>
  <c r="E16" i="5"/>
  <c r="B16" i="5"/>
  <c r="E15" i="5"/>
  <c r="B15" i="5"/>
  <c r="E14" i="5"/>
  <c r="B14" i="5"/>
  <c r="E13" i="5"/>
  <c r="B13" i="5"/>
  <c r="E12" i="5"/>
  <c r="B12" i="5"/>
  <c r="E11" i="5"/>
  <c r="B11" i="5"/>
  <c r="E10" i="5"/>
  <c r="B10" i="5"/>
  <c r="E9" i="5"/>
  <c r="B9" i="5"/>
  <c r="E8" i="5"/>
  <c r="B8" i="5"/>
  <c r="E7" i="5"/>
  <c r="B7" i="5"/>
  <c r="E6" i="5"/>
  <c r="B6" i="5"/>
  <c r="E5" i="5"/>
  <c r="B5" i="5"/>
  <c r="E4" i="5"/>
  <c r="E36" i="5" s="1"/>
  <c r="B4" i="5"/>
  <c r="F36" i="3"/>
  <c r="D36" i="3"/>
  <c r="C36" i="3"/>
  <c r="E34" i="3"/>
  <c r="B34" i="3"/>
  <c r="E33" i="3"/>
  <c r="B33" i="3"/>
  <c r="E32" i="3"/>
  <c r="B32" i="3"/>
  <c r="E31" i="3"/>
  <c r="B31" i="3"/>
  <c r="E30" i="3"/>
  <c r="B30" i="3"/>
  <c r="E29" i="3"/>
  <c r="B29" i="3"/>
  <c r="E28" i="3"/>
  <c r="B28" i="3"/>
  <c r="E27" i="3"/>
  <c r="B27" i="3"/>
  <c r="E26" i="3"/>
  <c r="B26" i="3"/>
  <c r="E25" i="3"/>
  <c r="B25" i="3"/>
  <c r="E24" i="3"/>
  <c r="B24" i="3"/>
  <c r="E23" i="3"/>
  <c r="B23" i="3"/>
  <c r="E22" i="3"/>
  <c r="B22" i="3"/>
  <c r="E21" i="3"/>
  <c r="B21" i="3"/>
  <c r="E20" i="3"/>
  <c r="B20" i="3"/>
  <c r="E19" i="3"/>
  <c r="B19" i="3"/>
  <c r="E18" i="3"/>
  <c r="B18" i="3"/>
  <c r="E17" i="3"/>
  <c r="B17" i="3"/>
  <c r="E16" i="3"/>
  <c r="B16" i="3"/>
  <c r="E15" i="3"/>
  <c r="B15" i="3"/>
  <c r="E14" i="3"/>
  <c r="B14" i="3"/>
  <c r="E13" i="3"/>
  <c r="B13" i="3"/>
  <c r="E12" i="3"/>
  <c r="B12" i="3"/>
  <c r="E11" i="3"/>
  <c r="B11" i="3"/>
  <c r="E10" i="3"/>
  <c r="B10" i="3"/>
  <c r="E9" i="3"/>
  <c r="B9" i="3"/>
  <c r="E8" i="3"/>
  <c r="B8" i="3"/>
  <c r="E7" i="3"/>
  <c r="B7" i="3"/>
  <c r="E6" i="3"/>
  <c r="B6" i="3"/>
  <c r="E5" i="3"/>
  <c r="B5" i="3"/>
  <c r="E4" i="3"/>
  <c r="E36" i="3" s="1"/>
  <c r="B4" i="3"/>
  <c r="E36" i="23" l="1"/>
  <c r="E36" i="21"/>
</calcChain>
</file>

<file path=xl/sharedStrings.xml><?xml version="1.0" encoding="utf-8"?>
<sst xmlns="http://schemas.openxmlformats.org/spreadsheetml/2006/main" count="3365" uniqueCount="999">
  <si>
    <t>TRAVELBQTO                                                                                                       CAYO MUERTO UNIDAD I                                                                            SABADO 01/08/2026</t>
  </si>
  <si>
    <t>UNIDAD I CAYO MUERTO SABADO 01/08/2026</t>
  </si>
  <si>
    <t>PUESTO                                                                        REF. 23</t>
  </si>
  <si>
    <t>GUIA ASIGNADO: GABRIEL GUERRERO</t>
  </si>
  <si>
    <t>PUESTO</t>
  </si>
  <si>
    <t>NOMBRE DEL CLIENTE</t>
  </si>
  <si>
    <t xml:space="preserve">CEDULA </t>
  </si>
  <si>
    <t>TELEFONO</t>
  </si>
  <si>
    <t>DIRECCION</t>
  </si>
  <si>
    <t>OBSERVACION</t>
  </si>
  <si>
    <t>A-01</t>
  </si>
  <si>
    <t>CARLOS LAMAS</t>
  </si>
  <si>
    <t>21.459.425</t>
  </si>
  <si>
    <t>0414-3535901</t>
  </si>
  <si>
    <t>RESIDENCIA LAS GUACAMAYAS, FRENTE A LAS TRINITARIAS</t>
  </si>
  <si>
    <t>CLIENTE JESUS</t>
  </si>
  <si>
    <t>A-02</t>
  </si>
  <si>
    <t>N/E</t>
  </si>
  <si>
    <t>A-03</t>
  </si>
  <si>
    <t>A-04</t>
  </si>
  <si>
    <t>A-05</t>
  </si>
  <si>
    <t>MARISOL ROA</t>
  </si>
  <si>
    <t>15.597.988</t>
  </si>
  <si>
    <t>0412-1784761</t>
  </si>
  <si>
    <t>CARRERA 4 ENTRE CALLES 3 Y 6A, CONJUNTO RESIDENCIAL CORAZON DE MI PATRIA, SAN JOSE</t>
  </si>
  <si>
    <t>CLIENTE TRAVEL</t>
  </si>
  <si>
    <t>A-06</t>
  </si>
  <si>
    <t>DANNY PERAZA</t>
  </si>
  <si>
    <t>9.556.969</t>
  </si>
  <si>
    <t>A-07</t>
  </si>
  <si>
    <t>A-08</t>
  </si>
  <si>
    <t>HECTOR ORTEGA</t>
  </si>
  <si>
    <t>19.735.633</t>
  </si>
  <si>
    <t>0412-5901931</t>
  </si>
  <si>
    <t>URB LA PUERTA, CALLE 6 NORTE</t>
  </si>
  <si>
    <t>A-09</t>
  </si>
  <si>
    <t>A-10</t>
  </si>
  <si>
    <t>A-11</t>
  </si>
  <si>
    <t>ODALIS LINARES</t>
  </si>
  <si>
    <t>18.137.433</t>
  </si>
  <si>
    <t>0416-1549882</t>
  </si>
  <si>
    <t>CARRERA 28 ENTRE CALLES 49 Y 50 A 3 CUADRAS DE BABILON</t>
  </si>
  <si>
    <t>A-12</t>
  </si>
  <si>
    <t>VALERY PEREZ</t>
  </si>
  <si>
    <t>30.376.963</t>
  </si>
  <si>
    <t>0416-0389885</t>
  </si>
  <si>
    <t>A-13</t>
  </si>
  <si>
    <t>A-14</t>
  </si>
  <si>
    <t>A-15</t>
  </si>
  <si>
    <t>A-16</t>
  </si>
  <si>
    <t>A-17</t>
  </si>
  <si>
    <t>ALEXANDRA PERAZA</t>
  </si>
  <si>
    <t>32.847.501</t>
  </si>
  <si>
    <t>CARRERA 4 ENTRE CALLES 3 Y 6A, CONJUNTO RESIDENCIALCORAZON DE MI PATRIA, SAN JOSE</t>
  </si>
  <si>
    <t>A-18</t>
  </si>
  <si>
    <t>DANIEL PERAZA</t>
  </si>
  <si>
    <t>36.402.564</t>
  </si>
  <si>
    <t>A-19</t>
  </si>
  <si>
    <t>KISBELIS TORRES</t>
  </si>
  <si>
    <t>19.105.551</t>
  </si>
  <si>
    <t>0412-2405560</t>
  </si>
  <si>
    <t>A-20</t>
  </si>
  <si>
    <t>LUCIANA ORTEGA</t>
  </si>
  <si>
    <t>A-21</t>
  </si>
  <si>
    <t>A-22</t>
  </si>
  <si>
    <t>A-23</t>
  </si>
  <si>
    <t>ALAN &amp; DILAN PEREZ</t>
  </si>
  <si>
    <t>A-24</t>
  </si>
  <si>
    <t>A-25</t>
  </si>
  <si>
    <t>A-26</t>
  </si>
  <si>
    <t>A-27</t>
  </si>
  <si>
    <t>A-28</t>
  </si>
  <si>
    <t>A-29</t>
  </si>
  <si>
    <t>A-30</t>
  </si>
  <si>
    <t>A-31</t>
  </si>
  <si>
    <t>COBRANZA CAYO MUERTO UNIDAD 1                                                                                                                                    SABADO 01 DE AGOSTO</t>
  </si>
  <si>
    <t xml:space="preserve">MONTO </t>
  </si>
  <si>
    <t>ABONO</t>
  </si>
  <si>
    <t>SALDO PENDIENTE</t>
  </si>
  <si>
    <t xml:space="preserve">TOTAL </t>
  </si>
  <si>
    <t>DETALLES DE PAGOS</t>
  </si>
  <si>
    <t>NOMBRE CLIENTE</t>
  </si>
  <si>
    <t xml:space="preserve">TASA </t>
  </si>
  <si>
    <t>$</t>
  </si>
  <si>
    <t>REFERENCIA</t>
  </si>
  <si>
    <t>FECHA</t>
  </si>
  <si>
    <t>MARISOL</t>
  </si>
  <si>
    <t>8114 BANESCO</t>
  </si>
  <si>
    <t>4735 VZLA</t>
  </si>
  <si>
    <t>HECTOR THUNDERNET</t>
  </si>
  <si>
    <t>7169 BANESCO</t>
  </si>
  <si>
    <t>VALERY</t>
  </si>
  <si>
    <t>2439 VZLA</t>
  </si>
  <si>
    <t>5715 MERCANTIL</t>
  </si>
  <si>
    <t>LIBRE</t>
  </si>
  <si>
    <t>TRAVELBQTO                                                                                                       DUNAS UNIDAD I                                                                            SABADO 01/08/2026</t>
  </si>
  <si>
    <t>UNIDAD I DUNAS SABADO 01/08/2026</t>
  </si>
  <si>
    <t>PUESTO                                                                        REF. 30</t>
  </si>
  <si>
    <t>GUIA ASIGNADO: ISBELL VASQUEZ</t>
  </si>
  <si>
    <t>ARMANDO NAVARRO + NIÑO</t>
  </si>
  <si>
    <t>15.229.261</t>
  </si>
  <si>
    <t>0424-8957221</t>
  </si>
  <si>
    <t>SECTOR 1, AV 4, LA CARUCIEÑA</t>
  </si>
  <si>
    <t>DIEGO NAVARRO + NIÑO</t>
  </si>
  <si>
    <t>33.946.285</t>
  </si>
  <si>
    <t>0412-0997154</t>
  </si>
  <si>
    <t>SEBASTIAN NAVARRO</t>
  </si>
  <si>
    <t>36.389.745</t>
  </si>
  <si>
    <t>0412-4949314</t>
  </si>
  <si>
    <t>ANNERYS MUÑOZ</t>
  </si>
  <si>
    <t>27.290.770</t>
  </si>
  <si>
    <t>0412-5157066</t>
  </si>
  <si>
    <t>BRISAS DEL TURBIO. REF. A 7MIN DE LA CARUCIEÑA</t>
  </si>
  <si>
    <t>JOSMAR RODRIGUEZ</t>
  </si>
  <si>
    <t>26.398.488</t>
  </si>
  <si>
    <t>0412-2067979</t>
  </si>
  <si>
    <t>LOMAS DE LEON, CALLER EL PALMAR. REF. A 10 MIN DE LA CARUCIEÑA</t>
  </si>
  <si>
    <t>EDUARD GUY</t>
  </si>
  <si>
    <t>26.668.998</t>
  </si>
  <si>
    <t>0424-5968048</t>
  </si>
  <si>
    <t>LISANDRO JIMENEZ</t>
  </si>
  <si>
    <t>29.880.649</t>
  </si>
  <si>
    <t>0412-5530865</t>
  </si>
  <si>
    <t>CARRERA 3 CON CALLE 15 Y 16, PUEBLO NUEVO</t>
  </si>
  <si>
    <t>CARLOS CESTRA</t>
  </si>
  <si>
    <t>25.390.256</t>
  </si>
  <si>
    <t>0426-5508424</t>
  </si>
  <si>
    <t>CARRERA 17 CON CALLE 12 Y 13</t>
  </si>
  <si>
    <t>MARIANGEL SUAREZ</t>
  </si>
  <si>
    <t>27,024,426</t>
  </si>
  <si>
    <t>0412-5278076</t>
  </si>
  <si>
    <t>NESTOR MELENDEZ</t>
  </si>
  <si>
    <t>30.325.192</t>
  </si>
  <si>
    <t>0412-5123169</t>
  </si>
  <si>
    <t>WILKAR MEDINA</t>
  </si>
  <si>
    <t>30.657.378</t>
  </si>
  <si>
    <t>KEYLA ESCALONA</t>
  </si>
  <si>
    <t>30.324.311</t>
  </si>
  <si>
    <t>0412-5338841</t>
  </si>
  <si>
    <t>COBRANZA DUNAS UNIDAD 1                                                                                                                                    SABADO 01 DE AGOSTO</t>
  </si>
  <si>
    <t>NIÑO EXONERADO</t>
  </si>
  <si>
    <t>GREGORI</t>
  </si>
  <si>
    <t>BRAZALETES Y RST MARKTNG</t>
  </si>
  <si>
    <t>1507 BANESCO</t>
  </si>
  <si>
    <t>8474 BANESCO</t>
  </si>
  <si>
    <t>1276 BANESCO</t>
  </si>
  <si>
    <t>5224 VZLA</t>
  </si>
  <si>
    <t>6808 BANCARIBE</t>
  </si>
  <si>
    <t>DR GUARO</t>
  </si>
  <si>
    <t>1866 MERCANTIL</t>
  </si>
  <si>
    <t>9159 MERCANTIL</t>
  </si>
  <si>
    <t>4589 VZLA</t>
  </si>
  <si>
    <t>4778 VZLA</t>
  </si>
  <si>
    <t>7080 VZLA</t>
  </si>
  <si>
    <t>TRAVELBQTO                                                                                                       CUBIRO UNIDAD I                                                                             DOMINGO 02/08/2026</t>
  </si>
  <si>
    <t>UNIDAD I CUBIRO DOMINGO 02/08/2026</t>
  </si>
  <si>
    <t>PUESTO                                                                        REF. 16</t>
  </si>
  <si>
    <t>JOHAN GUAINA</t>
  </si>
  <si>
    <t>NO ENVIO</t>
  </si>
  <si>
    <t>ARANZA GIL</t>
  </si>
  <si>
    <t>CABUDARE, MERKAFUR</t>
  </si>
  <si>
    <t>GEORGINA BRIONES</t>
  </si>
  <si>
    <t>32.599.621</t>
  </si>
  <si>
    <t>0426-4249317</t>
  </si>
  <si>
    <t>URB LA NUEVA LUCHA, CRR 7 ENTRE CALLES 4 Y 5</t>
  </si>
  <si>
    <t>ROSSYRIS PEREZ</t>
  </si>
  <si>
    <t>26.768.214</t>
  </si>
  <si>
    <t>0424-5807007</t>
  </si>
  <si>
    <t>RUIZ PINEDA</t>
  </si>
  <si>
    <t>MYLANIA MAVARES</t>
  </si>
  <si>
    <t>31.836.704</t>
  </si>
  <si>
    <t>0412-5759839</t>
  </si>
  <si>
    <t>JOSE GARCIA</t>
  </si>
  <si>
    <t>31.028.400</t>
  </si>
  <si>
    <t>0412-8505310</t>
  </si>
  <si>
    <t>AV. FLORENCIO JIMENEZ, KM 16 SECTOR EL CARDENALITO</t>
  </si>
  <si>
    <t>EDGAR RODRIGUEZ</t>
  </si>
  <si>
    <t>28.585.910</t>
  </si>
  <si>
    <t>0412-7024866</t>
  </si>
  <si>
    <t>ADRIAN MARTINEZ</t>
  </si>
  <si>
    <t>31.926.039</t>
  </si>
  <si>
    <t>0416-2104624</t>
  </si>
  <si>
    <t>KARLA CASTELLANO</t>
  </si>
  <si>
    <t>17.019.930</t>
  </si>
  <si>
    <t>0412-1581127</t>
  </si>
  <si>
    <t>MANUEL VILLANUEVA</t>
  </si>
  <si>
    <t>37.700.804</t>
  </si>
  <si>
    <t>ALBERTH SILVA</t>
  </si>
  <si>
    <t>27.738.665</t>
  </si>
  <si>
    <t>0412-9319320</t>
  </si>
  <si>
    <t>CARRERA 16 CON CALLE 33</t>
  </si>
  <si>
    <t>MARIA SEQUERA</t>
  </si>
  <si>
    <t>17.196.509</t>
  </si>
  <si>
    <t>0414-5060100</t>
  </si>
  <si>
    <t>EDGAR FREITEZ</t>
  </si>
  <si>
    <t>19.347.872</t>
  </si>
  <si>
    <t>0412-5497242</t>
  </si>
  <si>
    <t>AV LOS LEONES, PARADA FRENTE A INTER</t>
  </si>
  <si>
    <t>COBRANZA CUBIRO UNIDAD 1                                                                                                                                    DOMINGO 02 DE AGOSTO</t>
  </si>
  <si>
    <t>CUEVAS CARRAOS</t>
  </si>
  <si>
    <t>DESCUENTO</t>
  </si>
  <si>
    <t>SI</t>
  </si>
  <si>
    <t>KARLA</t>
  </si>
  <si>
    <t>6790 BANPLUS</t>
  </si>
  <si>
    <t>4168 BANCAMIGA</t>
  </si>
  <si>
    <t>MARIA DEL CARMEN</t>
  </si>
  <si>
    <t>7129 BANESCO</t>
  </si>
  <si>
    <t>4744 BANESCO</t>
  </si>
  <si>
    <t>ROSS</t>
  </si>
  <si>
    <t>7674 BANESCO</t>
  </si>
  <si>
    <t>0930 VZLA</t>
  </si>
  <si>
    <t>7778 BANESCO</t>
  </si>
  <si>
    <t>TRAVELBQTO                                                                                                       CAYO SAL &amp; VARADERO UNIDAD I                                                                            SABADO 08/08/2026</t>
  </si>
  <si>
    <t>UNIDAD I CAYO SAL &amp; VARADERO SABADO 08/08/2026</t>
  </si>
  <si>
    <t>PUESTO                                                                        REF. 25 / 24</t>
  </si>
  <si>
    <t>GUIA ASIGNADO: RUBEN &amp; ALBERTH</t>
  </si>
  <si>
    <t>NAGUARA TOURS</t>
  </si>
  <si>
    <t>GABRIEL MARCHAN</t>
  </si>
  <si>
    <t>29.778.919</t>
  </si>
  <si>
    <t>0414-3556341</t>
  </si>
  <si>
    <t>CARRERA 18 ENTRE CALLES 59 Y 60</t>
  </si>
  <si>
    <t>CLIENTE RUBEN</t>
  </si>
  <si>
    <t>MARIED RODRIGUEZ</t>
  </si>
  <si>
    <t>KENDRY PAEZ</t>
  </si>
  <si>
    <t>27.067.305</t>
  </si>
  <si>
    <t>0424-5104489</t>
  </si>
  <si>
    <t>CABUDARE, LA PIEDAD SUR,  AVENIDA 2</t>
  </si>
  <si>
    <t>YOSELYN COLMENARES</t>
  </si>
  <si>
    <t>26.750.668</t>
  </si>
  <si>
    <t>0424-5253569</t>
  </si>
  <si>
    <t>MARIA ARRIECHE</t>
  </si>
  <si>
    <t>14.797.870</t>
  </si>
  <si>
    <t>0424-5878373</t>
  </si>
  <si>
    <t>SABANA DE PARRA, AV 7 ENTRE CALLES 7 Y 8</t>
  </si>
  <si>
    <t>CLIENTE TRAVEL CAYO SAL</t>
  </si>
  <si>
    <t>VICTORIA ARRIECHE</t>
  </si>
  <si>
    <t>36.426.829</t>
  </si>
  <si>
    <t>N/T</t>
  </si>
  <si>
    <t>MIRANDA ARRIECHE</t>
  </si>
  <si>
    <t>34.698.869</t>
  </si>
  <si>
    <t>ODALYS BECERRA</t>
  </si>
  <si>
    <t>8.513.008</t>
  </si>
  <si>
    <t>0412-5241640</t>
  </si>
  <si>
    <t>JOSE RODRIGUEZ</t>
  </si>
  <si>
    <t>15.107.221</t>
  </si>
  <si>
    <t>0412-3816964</t>
  </si>
  <si>
    <t>MARILYS MUJICA</t>
  </si>
  <si>
    <t>19.835.407</t>
  </si>
  <si>
    <t>0412-6294370</t>
  </si>
  <si>
    <t>FIORELLA RODRIGUEZ</t>
  </si>
  <si>
    <t>33.899.323</t>
  </si>
  <si>
    <t>OSMARLYN COLMENAREZ</t>
  </si>
  <si>
    <t>33.006.979</t>
  </si>
  <si>
    <t>0412-7586083</t>
  </si>
  <si>
    <t>CABUDARE, CIUDAD TRAKI</t>
  </si>
  <si>
    <t>MANUEL PEREZ</t>
  </si>
  <si>
    <t>30.621.639</t>
  </si>
  <si>
    <t>0412-5058331</t>
  </si>
  <si>
    <t>COBRANZA VARADERO UNIDAD 1                                                                                                                                    SABADO 08 DE AGOSTO</t>
  </si>
  <si>
    <t>6 DE MAS</t>
  </si>
  <si>
    <t>KENDRY</t>
  </si>
  <si>
    <t>5471 BNC</t>
  </si>
  <si>
    <t>SE LE HACE LA DEVOLUCION DE 12 EUROS QUE PAGÓ DE MAS</t>
  </si>
  <si>
    <t>5061 BNC</t>
  </si>
  <si>
    <t>5642 TESORO</t>
  </si>
  <si>
    <t>MARIA ALEJANDRA</t>
  </si>
  <si>
    <t>9826 VZLA</t>
  </si>
  <si>
    <t>8597 BANCARIBE</t>
  </si>
  <si>
    <t>3359 VZLA</t>
  </si>
  <si>
    <t>8144 BANCARIBE</t>
  </si>
  <si>
    <t>5747 VZLA</t>
  </si>
  <si>
    <t>TRAVELBQTO                                                                                                       CAYO MUERTO UNIDAD I                                                                            SABADO 15/08/2026</t>
  </si>
  <si>
    <t>UNIDAD I CAYO MUERTO SABADO 15/08/2026</t>
  </si>
  <si>
    <t>GUIA ASIGNADO: LUIS TEIXEIRA</t>
  </si>
  <si>
    <t>MARIA COROBO</t>
  </si>
  <si>
    <t>36.199.956</t>
  </si>
  <si>
    <t>0412-5508386</t>
  </si>
  <si>
    <t>CHIVACOA, AV 3 ENTRE CALLES 6 Y 7</t>
  </si>
  <si>
    <t>JOSE R. TESORERO</t>
  </si>
  <si>
    <t>27.267.237</t>
  </si>
  <si>
    <t>0412-5626559</t>
  </si>
  <si>
    <t>SARAY PACHECO</t>
  </si>
  <si>
    <t>27.492.414</t>
  </si>
  <si>
    <t>0412-8503268</t>
  </si>
  <si>
    <t>JOSE G. TESORERO</t>
  </si>
  <si>
    <t>29.961.621</t>
  </si>
  <si>
    <t>0424-5367386</t>
  </si>
  <si>
    <t>PIERINA DI MARIA</t>
  </si>
  <si>
    <t>27.529.015</t>
  </si>
  <si>
    <t>0426-5574279</t>
  </si>
  <si>
    <t>ALLER MELENDEZ</t>
  </si>
  <si>
    <t>28.453.803</t>
  </si>
  <si>
    <t>0412-5614559</t>
  </si>
  <si>
    <t>ROSSELYN CHACON</t>
  </si>
  <si>
    <t>27.666.318</t>
  </si>
  <si>
    <t>0424-5171487</t>
  </si>
  <si>
    <t>CARRERA 17 ENTRE 45 Y 46</t>
  </si>
  <si>
    <t>CLIENTE EDWIN</t>
  </si>
  <si>
    <t>ABRAHAN RAMOS</t>
  </si>
  <si>
    <t>16.238.019</t>
  </si>
  <si>
    <t>0412-8494383</t>
  </si>
  <si>
    <t>AV FLORENCIO JIMENEZ, RESIDENCIAS EL PORTAL, DIAGONAL A PANADERIA DEL OESTE</t>
  </si>
  <si>
    <t>ANDRES RAMOS</t>
  </si>
  <si>
    <t>32.874.562</t>
  </si>
  <si>
    <t>0424-5583418</t>
  </si>
  <si>
    <t>MARIA FLORES</t>
  </si>
  <si>
    <t>25.442.833</t>
  </si>
  <si>
    <t>0426-6585118</t>
  </si>
  <si>
    <t>URB. JOSE ANGEL ALAMOS, SECTOR CERRAJONES</t>
  </si>
  <si>
    <t>ELVIS SALAS</t>
  </si>
  <si>
    <t>10.778.359</t>
  </si>
  <si>
    <t>0424-5476877</t>
  </si>
  <si>
    <t>YAJAIRA RODRIGUEZ</t>
  </si>
  <si>
    <t>12.705.996</t>
  </si>
  <si>
    <t>0424-5639642</t>
  </si>
  <si>
    <t>TOUR AZUL</t>
  </si>
  <si>
    <t>COBRANZA CAYO MUERTO UNIDAD 1                                                                                                                                    SABADO 15 DE AGOSTO</t>
  </si>
  <si>
    <t>DESAYUNO / ALMUERZOS</t>
  </si>
  <si>
    <t>DETALLES DE PAGOS EXTRAS</t>
  </si>
  <si>
    <t>DESCRIPCION</t>
  </si>
  <si>
    <t>BS</t>
  </si>
  <si>
    <t>TASA</t>
  </si>
  <si>
    <t>BLACK</t>
  </si>
  <si>
    <t>9024 BINANCE</t>
  </si>
  <si>
    <t>1 ALMUERZO CLIENTE ROSSELYN</t>
  </si>
  <si>
    <t>4329 BNC</t>
  </si>
  <si>
    <t>LUIS TEIXEIRA</t>
  </si>
  <si>
    <t>5472 BINANCE</t>
  </si>
  <si>
    <t>1 ALMUERZO CLIENTE MARIA FLORES</t>
  </si>
  <si>
    <t>PROVINCIAL MARIA</t>
  </si>
  <si>
    <t>9220 MERCANTIL</t>
  </si>
  <si>
    <t>MARIA FERNANDA</t>
  </si>
  <si>
    <t>ROSELYN</t>
  </si>
  <si>
    <t>5336 VZLA</t>
  </si>
  <si>
    <t>2992 VZLA</t>
  </si>
  <si>
    <t>TRAVELBQTO                                                                                                       CAYO MUERTO UNIDAD II                                                                            SABADO 15/08/2026</t>
  </si>
  <si>
    <t>UNIDAD II CAYO MUERTO SABADO 15/08/2026</t>
  </si>
  <si>
    <t>VALENTINA</t>
  </si>
  <si>
    <t>0426-9511687</t>
  </si>
  <si>
    <t>AV INTERCOMUNAL BQTO - ACARIGUA, PIEDAD NORTE</t>
  </si>
  <si>
    <t>COBRANZA CAYO MUERTO UNIDAD 2                                                                                                                                    SABADO 15 DE AGOSTO</t>
  </si>
  <si>
    <t>6559 BANCAMIGA</t>
  </si>
  <si>
    <t>4913 VZLA</t>
  </si>
  <si>
    <t>0530 VZLA</t>
  </si>
  <si>
    <t>LIBRE KIA</t>
  </si>
  <si>
    <t>TRAVELBQTO                                                                                                       TOUR FALCON UNIDAD I                                                                            SABADO 15 Y DOMINGO 16/08/2026</t>
  </si>
  <si>
    <t>UNIDAD I TOUR FALCON SABADO 15 Y DOMINGO 16/08/2026</t>
  </si>
  <si>
    <t>PUESTO                                                                        REF. 75</t>
  </si>
  <si>
    <t>EDELMARYS CHIRINOS</t>
  </si>
  <si>
    <t>26.120.314</t>
  </si>
  <si>
    <t>0414-0733589</t>
  </si>
  <si>
    <t>CALLE PRINCIPAL EL JEBE ENTRE CALLEJON 1 Y 2</t>
  </si>
  <si>
    <t>ELIANNY GOMEZ</t>
  </si>
  <si>
    <t>14.825.127</t>
  </si>
  <si>
    <t>0412-2685850</t>
  </si>
  <si>
    <t>NELIDA SECO</t>
  </si>
  <si>
    <t>15.458.408</t>
  </si>
  <si>
    <t>0414-5779079</t>
  </si>
  <si>
    <t>URB. VILLAS DEL OESTE DETRÁS DEL HOSPITAL ROTARIO, FRENTE A LA NUEVA PAZ</t>
  </si>
  <si>
    <t>RICHAR COLINA</t>
  </si>
  <si>
    <t>10.847.131</t>
  </si>
  <si>
    <t>0424-5803478</t>
  </si>
  <si>
    <t>SARA DIAZ</t>
  </si>
  <si>
    <t>0412-0784727</t>
  </si>
  <si>
    <t>EL ROTARIO FRENTE A TUBELCA</t>
  </si>
  <si>
    <t>JUAN DIAZ</t>
  </si>
  <si>
    <t>EDAD 7</t>
  </si>
  <si>
    <t>ANAIBETH ORELLANA</t>
  </si>
  <si>
    <t>0412-5506007</t>
  </si>
  <si>
    <t>PUEBLO NUEVO, CARRERA 1 CON CALLE 17 Y 17 A</t>
  </si>
  <si>
    <t>ARANZA ALVAREZ</t>
  </si>
  <si>
    <t>EDAD 8</t>
  </si>
  <si>
    <t>LILIBETH PASTRAN +NIÑO</t>
  </si>
  <si>
    <t>12.706.097</t>
  </si>
  <si>
    <t>0416-1018172</t>
  </si>
  <si>
    <t>CALLE 7 ENTRE CARRERAS 4 Y 5, SANTA ISABEL</t>
  </si>
  <si>
    <t>RAIMAR ALVAREZ</t>
  </si>
  <si>
    <t>36.044.525</t>
  </si>
  <si>
    <t>IVAN CARRILO</t>
  </si>
  <si>
    <t>12.245.460</t>
  </si>
  <si>
    <t>0414-0716460</t>
  </si>
  <si>
    <t>CARRERA 4 ESQUINA CALLE 7, LA PAZ</t>
  </si>
  <si>
    <t>CLIENTE WILKER</t>
  </si>
  <si>
    <t>BELKIS DE CARRILO</t>
  </si>
  <si>
    <t>13.880.307</t>
  </si>
  <si>
    <t>0414-5383818</t>
  </si>
  <si>
    <t>RAYMIR</t>
  </si>
  <si>
    <t>SAN FELIPE</t>
  </si>
  <si>
    <t>MARKETING</t>
  </si>
  <si>
    <t>ERIANNY MENDOZA</t>
  </si>
  <si>
    <t>20.393.707</t>
  </si>
  <si>
    <t>51-927197240</t>
  </si>
  <si>
    <t>VARGAS CON VENEZUELA</t>
  </si>
  <si>
    <t>NAHOMY COLINA</t>
  </si>
  <si>
    <t>30.266.160</t>
  </si>
  <si>
    <t>0414-5776501</t>
  </si>
  <si>
    <t>ANA TERESA PARGAS</t>
  </si>
  <si>
    <t>4.370.433</t>
  </si>
  <si>
    <t>0426-8527483</t>
  </si>
  <si>
    <t>CARRERA 16 ENTRE CALLES 32 Y 33, EDIF. DOÑA LETY</t>
  </si>
  <si>
    <t>TANIA BODOR</t>
  </si>
  <si>
    <t>0414-5209135</t>
  </si>
  <si>
    <t>CALLE 21 ENTRE 17 Y 18</t>
  </si>
  <si>
    <t>MARIA CESTARI</t>
  </si>
  <si>
    <t>8.682.211</t>
  </si>
  <si>
    <t>0412-8784558</t>
  </si>
  <si>
    <t>CABUDARE, FRENTE AL PARQUE TEREPAIMA</t>
  </si>
  <si>
    <t>ZULEIMA CESTARI</t>
  </si>
  <si>
    <t>4.681.176</t>
  </si>
  <si>
    <t>0416-4149531</t>
  </si>
  <si>
    <t>ALEXANDRA MORILLO</t>
  </si>
  <si>
    <t>26.357.289</t>
  </si>
  <si>
    <t>0424-5912197</t>
  </si>
  <si>
    <t>ANDREINA RAMOS</t>
  </si>
  <si>
    <t>26.480.268</t>
  </si>
  <si>
    <t>0426-7594240</t>
  </si>
  <si>
    <t>URB. FUNDALARA RESIDENCIAS TUMEREMO, DETRÁS DEL HOTEL LOS LEONES</t>
  </si>
  <si>
    <t>CLIENTE ISBELL</t>
  </si>
  <si>
    <t>ISMARY VELASQUEZ</t>
  </si>
  <si>
    <t>17.782.742</t>
  </si>
  <si>
    <t>0424-5263684</t>
  </si>
  <si>
    <t>AV LAS INDUSTRIAAS ENTRE AV LA SALLE Y ENTRADA A LA URB LOS CREPUSCULOS, AL LADO DE LA E/S LA PASTORA SENTIDO ESTE - OESTE</t>
  </si>
  <si>
    <t xml:space="preserve">CLIENTE JESUS </t>
  </si>
  <si>
    <t>LUIS MORENO</t>
  </si>
  <si>
    <t>15.395.300</t>
  </si>
  <si>
    <t>0414-5141143</t>
  </si>
  <si>
    <t>GENESIS CARDENAS</t>
  </si>
  <si>
    <t>19.887.056</t>
  </si>
  <si>
    <t>0414-5689301</t>
  </si>
  <si>
    <t>ROSMERY MENDOZA</t>
  </si>
  <si>
    <t>20.392.651</t>
  </si>
  <si>
    <t>51-922595163</t>
  </si>
  <si>
    <t>COBRANZA TOUR FALCON UNIDAD 1                                                                                                                                   SABADO 15 Y DOMINGO 16 DE AGOSTO</t>
  </si>
  <si>
    <t>DISTRIBUCION HABITACIONES</t>
  </si>
  <si>
    <t>NOMBRE</t>
  </si>
  <si>
    <t>HABITACION</t>
  </si>
  <si>
    <t>MATRIMONIAL</t>
  </si>
  <si>
    <t>LITERA MATRIMONIAL                                   + CAMA MATRIMONIAL                                + CAMA INDIVIDUAL</t>
  </si>
  <si>
    <t>LITERA MATRIMONIAL                                                                   + LITERA NORMAL</t>
  </si>
  <si>
    <t>MATRIMONIAL + LITERA</t>
  </si>
  <si>
    <t>A-00</t>
  </si>
  <si>
    <t>CHOFER</t>
  </si>
  <si>
    <t>COPILOTO</t>
  </si>
  <si>
    <t>GUIA</t>
  </si>
  <si>
    <t>JESUS</t>
  </si>
  <si>
    <t>ELY</t>
  </si>
  <si>
    <t>6452 BANESCO</t>
  </si>
  <si>
    <t>VZLA</t>
  </si>
  <si>
    <t>6960 BANESCO</t>
  </si>
  <si>
    <t>BCV</t>
  </si>
  <si>
    <t>2869 VZLA</t>
  </si>
  <si>
    <t>LCDA ISMARY</t>
  </si>
  <si>
    <t>FISICO</t>
  </si>
  <si>
    <t>4171 BANESCO</t>
  </si>
  <si>
    <t>ANA TERESA</t>
  </si>
  <si>
    <t>4981 MERCANTIL</t>
  </si>
  <si>
    <t>4814 MERCANTIL</t>
  </si>
  <si>
    <t>SARA</t>
  </si>
  <si>
    <t>0634 BANESCO</t>
  </si>
  <si>
    <t>0912 BANESCO</t>
  </si>
  <si>
    <t>4638 BANESC</t>
  </si>
  <si>
    <t>5952 BANPLUS</t>
  </si>
  <si>
    <t>9027 BANESCO</t>
  </si>
  <si>
    <t>9808 VZLA</t>
  </si>
  <si>
    <t>9382 VZLA</t>
  </si>
  <si>
    <t>2254 BANPLUS</t>
  </si>
  <si>
    <t>6626 BANPLUS</t>
  </si>
  <si>
    <t>EMPERATRIZ</t>
  </si>
  <si>
    <t>8256 BINANCE</t>
  </si>
  <si>
    <t>LILI</t>
  </si>
  <si>
    <t>2607 VZLA</t>
  </si>
  <si>
    <t>8034 VZLA</t>
  </si>
  <si>
    <t>RAYMAR ALVAREZ</t>
  </si>
  <si>
    <t>$ FISICO</t>
  </si>
  <si>
    <t>3700 R4</t>
  </si>
  <si>
    <t>PROVINCIAL ANGIE</t>
  </si>
  <si>
    <t>IVAN CARRILLO</t>
  </si>
  <si>
    <t>7897 MERCANTIL</t>
  </si>
  <si>
    <t>4021 VZLA</t>
  </si>
  <si>
    <t>8823 MERCANTIL</t>
  </si>
  <si>
    <t>MARKETING RAYMIR</t>
  </si>
  <si>
    <t>GUIA ISBELL</t>
  </si>
  <si>
    <t>TRAVELBQTO                                                                                                       CASCADA DEL VINO UNIDAD I                                                                            DOMINGO 16/08/2026</t>
  </si>
  <si>
    <t>UNIDAD I CASCADA DEL VINO DOMINGO 16/08/2026</t>
  </si>
  <si>
    <t>NAIBETH ARRIECHE</t>
  </si>
  <si>
    <t>27.349.557</t>
  </si>
  <si>
    <t>0414-5049836</t>
  </si>
  <si>
    <t>LA CONCORDIA</t>
  </si>
  <si>
    <t>CARLINA VASQUEZ</t>
  </si>
  <si>
    <t>16.088.752</t>
  </si>
  <si>
    <t>WALESKA COUPUT</t>
  </si>
  <si>
    <t>32.302.374</t>
  </si>
  <si>
    <t>0422-3555181</t>
  </si>
  <si>
    <t>FARMATODO VZLA CON MORAN</t>
  </si>
  <si>
    <t>LILIANGELYS PEREZ</t>
  </si>
  <si>
    <t>AVRIL MENDEZ</t>
  </si>
  <si>
    <t>YEIMAR COROBA</t>
  </si>
  <si>
    <t>ALEYDA JIMENEZ</t>
  </si>
  <si>
    <t>13.267.205</t>
  </si>
  <si>
    <t>0424-5765009</t>
  </si>
  <si>
    <t>EL UJANO, DESPUES DEL HOSPITAL MILITAR, SECTOR URIBANA, CALLE LAS MARGARITAS</t>
  </si>
  <si>
    <t>JUANANGEL MENDEZ</t>
  </si>
  <si>
    <t>0426-2074699</t>
  </si>
  <si>
    <t>MARYELI SEQUERA + NIÑA</t>
  </si>
  <si>
    <t>18.863.939</t>
  </si>
  <si>
    <t>0424-5466952</t>
  </si>
  <si>
    <t>AV JOSE FELIX RIVAS CON CALLE LOS PROCERES</t>
  </si>
  <si>
    <t>ANGELINA RODRIGUEZ</t>
  </si>
  <si>
    <t>33.034.021</t>
  </si>
  <si>
    <t>FABIANA RODRIGUEZ</t>
  </si>
  <si>
    <t>34.846.419</t>
  </si>
  <si>
    <t>DANIMAR LEAL</t>
  </si>
  <si>
    <t>30.324.941</t>
  </si>
  <si>
    <t>0416-3803406</t>
  </si>
  <si>
    <t>CABUDARE, URB ERNESTO CHE GUEVARA</t>
  </si>
  <si>
    <t>PEDRO CRESPO</t>
  </si>
  <si>
    <t>24.398.989</t>
  </si>
  <si>
    <t>0412-5985078</t>
  </si>
  <si>
    <t>YAREXI PEREZ</t>
  </si>
  <si>
    <t>30.219.878</t>
  </si>
  <si>
    <t>0412-0721018</t>
  </si>
  <si>
    <t>CARRERA 23 ENTRE CALLES 9 Y 10</t>
  </si>
  <si>
    <t>YAIMAR PEREZ</t>
  </si>
  <si>
    <t>33.698.281</t>
  </si>
  <si>
    <t>0412-3360926</t>
  </si>
  <si>
    <t>RAIBETH CAMPOS</t>
  </si>
  <si>
    <t>27.966.700</t>
  </si>
  <si>
    <t>0424-5197870</t>
  </si>
  <si>
    <t>JHOSUE RODRIGUEZ</t>
  </si>
  <si>
    <t>31.066.421</t>
  </si>
  <si>
    <t>0412-7044270</t>
  </si>
  <si>
    <t>JAVIER BOSCAN</t>
  </si>
  <si>
    <t>23.450.827</t>
  </si>
  <si>
    <t>0414-2657306</t>
  </si>
  <si>
    <t>AV 20 ESQ CALLE 40</t>
  </si>
  <si>
    <t>JOSE GONZALEZ</t>
  </si>
  <si>
    <t>27.491.842</t>
  </si>
  <si>
    <t>0412-6859090</t>
  </si>
  <si>
    <t>GREXI CABRERA</t>
  </si>
  <si>
    <t>25.254.760</t>
  </si>
  <si>
    <t>0424-5140974</t>
  </si>
  <si>
    <t>SABANETA</t>
  </si>
  <si>
    <t>COBRANZA CASCADA DEL VINO UNIDAD 1                                                                                                                                    DOMINGO 16 DE AGOSTO</t>
  </si>
  <si>
    <t>FACILIDAD DE PAGO</t>
  </si>
  <si>
    <t>7800 VZLA</t>
  </si>
  <si>
    <t>4340 VZLA</t>
  </si>
  <si>
    <t>2544 VZLA</t>
  </si>
  <si>
    <t>ALEYDA</t>
  </si>
  <si>
    <t>0665 BANESCO</t>
  </si>
  <si>
    <t>1542 BANESCO</t>
  </si>
  <si>
    <t>6432 BANESCO</t>
  </si>
  <si>
    <t>8163 BNAESCO</t>
  </si>
  <si>
    <t>YAREXI</t>
  </si>
  <si>
    <t>5585 VZLA</t>
  </si>
  <si>
    <t>1949 BNC</t>
  </si>
  <si>
    <t>PROVINCIAL JAVIER</t>
  </si>
  <si>
    <t>GREXI</t>
  </si>
  <si>
    <t>3056 BINANCE</t>
  </si>
  <si>
    <t>4494 MERCANTIL</t>
  </si>
  <si>
    <t>CARLIK</t>
  </si>
  <si>
    <t>6049 VZLA</t>
  </si>
  <si>
    <t>MARYE</t>
  </si>
  <si>
    <t>PROVINCIAL MARYELI</t>
  </si>
  <si>
    <t>PAGARAN 30€   EL 16/08,                      30€   EL 23/08                                               Y 14€   EL 30/08</t>
  </si>
  <si>
    <t>WALESCA COUPUT</t>
  </si>
  <si>
    <t>2366 BANCAMIGA</t>
  </si>
  <si>
    <t>8243 BANESCO</t>
  </si>
  <si>
    <t>TRAVELBQTO                                                                                                       CAYO MUERTO &amp; TOUR CHICHIRIVICHE UNIDAD I                                                                            SABADO 22/08/2026</t>
  </si>
  <si>
    <t>UNIDAD I CAYO MUERTO &amp; TOUR CHICHIRIVICHE SABADO 22/08/2026</t>
  </si>
  <si>
    <t>PUESTO                                                                        REF. 23 / 31</t>
  </si>
  <si>
    <t>GUIA ASIGNADO: LUIS TEIXEIRA &amp; ALBERT VALERO</t>
  </si>
  <si>
    <t>FRANCY JUSTO</t>
  </si>
  <si>
    <t>CARIBE 2</t>
  </si>
  <si>
    <t>SARAI VIRGUEZ</t>
  </si>
  <si>
    <t>0424-5632747</t>
  </si>
  <si>
    <t>FRANCISCO JUSTO</t>
  </si>
  <si>
    <t>ANDREA JUSTO</t>
  </si>
  <si>
    <t>DILMAR VELASQUEZ</t>
  </si>
  <si>
    <t>30.621.873</t>
  </si>
  <si>
    <t>0426-3522084</t>
  </si>
  <si>
    <t xml:space="preserve">URB ALMARIERA EDIF. LAS DALIAS </t>
  </si>
  <si>
    <t>CATHY DE VELASQUEZ</t>
  </si>
  <si>
    <t>JHOSMIR FERNANDEZ</t>
  </si>
  <si>
    <t>17.625.457</t>
  </si>
  <si>
    <t>0412-5107349</t>
  </si>
  <si>
    <t>CABUDARE, TARABANA 2, SECTOR 1 CALLE 4</t>
  </si>
  <si>
    <t>JHOAN FERNANDEZ</t>
  </si>
  <si>
    <t>RAFAEL VELASQUEZ</t>
  </si>
  <si>
    <t>JHOSMAR FERNANDEZ</t>
  </si>
  <si>
    <t>18.421.482</t>
  </si>
  <si>
    <t>0424-5761168</t>
  </si>
  <si>
    <t>CABUDARE, SANTA BARBARA CALLE PAEZ, DETRÁS DE LA ESCULA NUEVA SEGOVIA</t>
  </si>
  <si>
    <t>ALANIS CORRALES</t>
  </si>
  <si>
    <t>31.535.471</t>
  </si>
  <si>
    <t>0414-5547435</t>
  </si>
  <si>
    <t>CABUDARE, URB LA PUERTA</t>
  </si>
  <si>
    <t>CLIENTE JESUS VARADERO</t>
  </si>
  <si>
    <t>ARIANA MORALES</t>
  </si>
  <si>
    <t>31.771.509</t>
  </si>
  <si>
    <t>0414-5034005</t>
  </si>
  <si>
    <t>CABUDARE, URB PRADO DE CABUDARE II</t>
  </si>
  <si>
    <t>NATALIA PEREZ</t>
  </si>
  <si>
    <t>31.355.289</t>
  </si>
  <si>
    <t>0414-3514894</t>
  </si>
  <si>
    <t>CABUDARE, URBANIZACION OASIS</t>
  </si>
  <si>
    <t>CLIENTE LUIS VARADERO</t>
  </si>
  <si>
    <t>ARON GARCIA</t>
  </si>
  <si>
    <t>33.224.893</t>
  </si>
  <si>
    <t>0424-5649323</t>
  </si>
  <si>
    <t>CABUDARE, LA MATA CALLE 7 ENTRE AV 1 Y 2</t>
  </si>
  <si>
    <t>YHOAN LINARES</t>
  </si>
  <si>
    <t>33.007.694</t>
  </si>
  <si>
    <t>0414-5007379</t>
  </si>
  <si>
    <t>DOUGLAS FERNANDEZ</t>
  </si>
  <si>
    <t>BARBARA CAÑIZALEZ</t>
  </si>
  <si>
    <t>NATHALIA ALVARADO</t>
  </si>
  <si>
    <t>XAVIER TORRES</t>
  </si>
  <si>
    <t>DANMARYS TORRES</t>
  </si>
  <si>
    <t>14.334.836</t>
  </si>
  <si>
    <t>0424-5545739</t>
  </si>
  <si>
    <t>URB RAFAEL CALDERA I ETAPA AV 5 CON CALLE 4</t>
  </si>
  <si>
    <t>CLIENTE TRAVEL VARADERO</t>
  </si>
  <si>
    <t>SULBARAN DOMINGUEZ</t>
  </si>
  <si>
    <t>15.444.001</t>
  </si>
  <si>
    <t>0424-5047618</t>
  </si>
  <si>
    <t>FRANKLIN CARUCI</t>
  </si>
  <si>
    <t>7.426.652</t>
  </si>
  <si>
    <t>0412-6929596</t>
  </si>
  <si>
    <t xml:space="preserve">URB CRUZ BLANCA, CALLE 8 CON CARRERAS 3B </t>
  </si>
  <si>
    <t>MARLING QUERALES</t>
  </si>
  <si>
    <t>12.432.143</t>
  </si>
  <si>
    <t>0412-7938525</t>
  </si>
  <si>
    <t>CATHERINE CARUCI</t>
  </si>
  <si>
    <t>32.115.167</t>
  </si>
  <si>
    <t>0424-5276525</t>
  </si>
  <si>
    <t>FRANCO CARUCI</t>
  </si>
  <si>
    <t>34.476.428</t>
  </si>
  <si>
    <t>0424-5075245</t>
  </si>
  <si>
    <t>JHOEL RODRIGUEZ</t>
  </si>
  <si>
    <t>27.816.060</t>
  </si>
  <si>
    <t>0416-0590087</t>
  </si>
  <si>
    <t>BARRIO GARABATAL, CALLE 6</t>
  </si>
  <si>
    <t>ALEJANDRA RODRIGUEZ</t>
  </si>
  <si>
    <t>29.654.794</t>
  </si>
  <si>
    <t>0422-0425575</t>
  </si>
  <si>
    <t>DIANYELA IBARRA</t>
  </si>
  <si>
    <t>28.204.724</t>
  </si>
  <si>
    <t>0412-7830805</t>
  </si>
  <si>
    <t>BARRIO UNION, CALLE 19 ENTRE CARRERAS 2 Y 3</t>
  </si>
  <si>
    <t>LUIS PIÑA</t>
  </si>
  <si>
    <t>30.995.872</t>
  </si>
  <si>
    <t>7352 BANESCO</t>
  </si>
  <si>
    <t>2 ALMUERZOS CLIENTE DANMARYS</t>
  </si>
  <si>
    <t>PROVINCIAL DANMARYS</t>
  </si>
  <si>
    <t>0639 VZLA</t>
  </si>
  <si>
    <t>1 ALMUERZO CLIENTE NATALIA</t>
  </si>
  <si>
    <t>PROVINCIAL NATALIA</t>
  </si>
  <si>
    <t>3881 VZLA</t>
  </si>
  <si>
    <t>2 ALMUERZOS CLIENTE ARON</t>
  </si>
  <si>
    <t>2062 MERCANTIL</t>
  </si>
  <si>
    <t>1 ALMUERZO CLIENTE FRANKLIN</t>
  </si>
  <si>
    <t>6115 BANESCO</t>
  </si>
  <si>
    <t>ALBERTH VALERO</t>
  </si>
  <si>
    <t>7143 VZLA</t>
  </si>
  <si>
    <t>7727 BNC</t>
  </si>
  <si>
    <t>ABUELO EDWIN</t>
  </si>
  <si>
    <t>1868 RETORNA</t>
  </si>
  <si>
    <t>NATALIA</t>
  </si>
  <si>
    <t>8921 BANESCO</t>
  </si>
  <si>
    <t>1499 BANESCO</t>
  </si>
  <si>
    <t>2396 BANESCO</t>
  </si>
  <si>
    <t>DANMARIS TORRES</t>
  </si>
  <si>
    <t>AARON GARCIA</t>
  </si>
  <si>
    <t>0344 MERCANTIL</t>
  </si>
  <si>
    <t>8520 MERCANTIL</t>
  </si>
  <si>
    <t>6618 VZLA</t>
  </si>
  <si>
    <t>PROVINCIAL LUIS</t>
  </si>
  <si>
    <t>3666 BNC</t>
  </si>
  <si>
    <t>TRAVELBQTO                                                                                                       LA GRIETA UNIDAD I                                                                            SABADO 22/08/2026</t>
  </si>
  <si>
    <t>UNIDAD I LA GRIETA SABADO 22/08/2026</t>
  </si>
  <si>
    <t>FRANK</t>
  </si>
  <si>
    <t>YARITAGUA</t>
  </si>
  <si>
    <t>INTERCAMBIO</t>
  </si>
  <si>
    <t>MILANGELA SANTELIZ</t>
  </si>
  <si>
    <t>24.549.907</t>
  </si>
  <si>
    <t>0424-9716025</t>
  </si>
  <si>
    <t>CALLE 35 CON RIBEREÑA, CANCHA TECHADA</t>
  </si>
  <si>
    <t>THIAGO REYES</t>
  </si>
  <si>
    <t>35.087.199</t>
  </si>
  <si>
    <t>SANTIAGO CORDERO</t>
  </si>
  <si>
    <t>34.476.459</t>
  </si>
  <si>
    <t>CAROLINA VASQUEZ</t>
  </si>
  <si>
    <t>17.728.440</t>
  </si>
  <si>
    <t>0426-3071348</t>
  </si>
  <si>
    <t>URB. NUEVA PAZ</t>
  </si>
  <si>
    <t>ROXANA MENDOZA</t>
  </si>
  <si>
    <t>25.648.496</t>
  </si>
  <si>
    <t>0412-6689936</t>
  </si>
  <si>
    <t>STEFANI CHAVEZ</t>
  </si>
  <si>
    <t>30.759.664</t>
  </si>
  <si>
    <t>0412-5741159</t>
  </si>
  <si>
    <t>FRENTE AL C.C. LA ESTANCIA</t>
  </si>
  <si>
    <t>KENNYMAR CHAVEZ</t>
  </si>
  <si>
    <t>27.209.833</t>
  </si>
  <si>
    <t>0412-4073454</t>
  </si>
  <si>
    <t>NAHOMI SUAREZ</t>
  </si>
  <si>
    <t>27.617.202</t>
  </si>
  <si>
    <t>0412-4383207</t>
  </si>
  <si>
    <t>COMUNIDAD BRISAS DEL MAYORISTA, ZONA INDRUSTRIAL 3</t>
  </si>
  <si>
    <t>MS</t>
  </si>
  <si>
    <t>EFECTIVO</t>
  </si>
  <si>
    <t>0316 VZLA</t>
  </si>
  <si>
    <t>7288 VZLA</t>
  </si>
  <si>
    <t>ROXANA</t>
  </si>
  <si>
    <t>CAROLINA</t>
  </si>
  <si>
    <t>0893 VZLA</t>
  </si>
  <si>
    <t>8115 BANESCO</t>
  </si>
  <si>
    <t>3237 BANESCO</t>
  </si>
  <si>
    <t>6074 BANESCO</t>
  </si>
  <si>
    <t>PROVINCIAL STEFANY</t>
  </si>
  <si>
    <t>FRANK INTERCAMBIO</t>
  </si>
  <si>
    <t>TRAVELBQTO                                                                                                       CHORONI UNIDAD I                                                                            SABADO 22 Y DOMINGO 23/08/2026</t>
  </si>
  <si>
    <t>UNIDAD I CHORONI SABADO 22 Y DOMINGO 23/08/2026</t>
  </si>
  <si>
    <t>PUESTO                                                                        REF. 85</t>
  </si>
  <si>
    <t>YOHANNY LINAREZ</t>
  </si>
  <si>
    <t>25.469.520</t>
  </si>
  <si>
    <t>0424-5459902</t>
  </si>
  <si>
    <t>BARRIO UNION, CARRERA 5 ENTRE CALLES 1 Y 2</t>
  </si>
  <si>
    <t>CLIENTE LUIS</t>
  </si>
  <si>
    <t>JAIMAR MARCHAN</t>
  </si>
  <si>
    <t>25.571.029</t>
  </si>
  <si>
    <t>0412-7610388</t>
  </si>
  <si>
    <t>RAIZA COLMENAREZ</t>
  </si>
  <si>
    <t>9,606,819</t>
  </si>
  <si>
    <t>0414-5263170</t>
  </si>
  <si>
    <t>CARRERA 23 ENTRE CALLES 52 Y 54, CONJUNTO RESIDENCIAL LARA PALACE</t>
  </si>
  <si>
    <t>YASMELY TORRES</t>
  </si>
  <si>
    <t>19.973.859</t>
  </si>
  <si>
    <t>0412-5690412</t>
  </si>
  <si>
    <t>NUVIA SALCEDO</t>
  </si>
  <si>
    <t>14,159,417</t>
  </si>
  <si>
    <t>0414-3578254</t>
  </si>
  <si>
    <t>CALLE 8 CON CALLE 13 SECTOR 2, LA CARUCIEÑA</t>
  </si>
  <si>
    <t>CELESTE AGUILAR</t>
  </si>
  <si>
    <t>15,004,843</t>
  </si>
  <si>
    <t>0424-5279071</t>
  </si>
  <si>
    <t>CALLE 23 SECTOR 4, LA CARUCIEÑA</t>
  </si>
  <si>
    <t>EMILIANO CORDERO</t>
  </si>
  <si>
    <t>NIÑO</t>
  </si>
  <si>
    <t>VALENTINA ANZOLA</t>
  </si>
  <si>
    <t>30,803,566</t>
  </si>
  <si>
    <t>0412-0586987</t>
  </si>
  <si>
    <t>CABUDARE, VALLE HONDO, URB ALTAMIRA</t>
  </si>
  <si>
    <t>DARYELIS KIL</t>
  </si>
  <si>
    <t>30,675,924</t>
  </si>
  <si>
    <t>0424-5545139</t>
  </si>
  <si>
    <t>YALIANY BELZARES</t>
  </si>
  <si>
    <t>30,527,991</t>
  </si>
  <si>
    <t>0424-5057370</t>
  </si>
  <si>
    <t>YALILE GARCIA</t>
  </si>
  <si>
    <t>9,620,058</t>
  </si>
  <si>
    <t>0424-5682022</t>
  </si>
  <si>
    <t>LUZDIVER ANDRADES</t>
  </si>
  <si>
    <t>23.576.927</t>
  </si>
  <si>
    <t>0414-5449777</t>
  </si>
  <si>
    <t>CAMBURAL, CALLE 7 MANZANA 65, CALLE EL OLVIDO</t>
  </si>
  <si>
    <t>ORIANA SANCHEZ</t>
  </si>
  <si>
    <t>LORENA PEREZ</t>
  </si>
  <si>
    <t>21.049.830</t>
  </si>
  <si>
    <t>0424-5212903</t>
  </si>
  <si>
    <t>MARIANNY MARTINEZ</t>
  </si>
  <si>
    <t>21.459.276</t>
  </si>
  <si>
    <t>MARBELYS PASTRAN</t>
  </si>
  <si>
    <t>30.204.182</t>
  </si>
  <si>
    <t>0424-5841509</t>
  </si>
  <si>
    <t>CALLE 9 ENTRE 22 Y 23, EDIF RODUAR 3 FRENTE A LA UCLA</t>
  </si>
  <si>
    <t>CLIENTE GABRIEL</t>
  </si>
  <si>
    <t>CESAR PARRA</t>
  </si>
  <si>
    <t>25.137.134</t>
  </si>
  <si>
    <t>0412-1410614</t>
  </si>
  <si>
    <t>CRISTIBEL GIL</t>
  </si>
  <si>
    <t>30.844.826</t>
  </si>
  <si>
    <t>0422-1472507</t>
  </si>
  <si>
    <t>SANTA ISABEL, CARRERA 3A ENTRE CALLES 5 Y 7</t>
  </si>
  <si>
    <t>AMBAR VALLADARES</t>
  </si>
  <si>
    <t>0412-5894400</t>
  </si>
  <si>
    <t>JAVIER RODRIGUEZ</t>
  </si>
  <si>
    <t>0412-0466768</t>
  </si>
  <si>
    <t>DIEGO ROA</t>
  </si>
  <si>
    <t>0414-5087020</t>
  </si>
  <si>
    <t>ANA GARCIA</t>
  </si>
  <si>
    <t>24,398,803</t>
  </si>
  <si>
    <t>0426-2090702</t>
  </si>
  <si>
    <t>AGUA VIVA, A 30MTR DEL CDI</t>
  </si>
  <si>
    <t>EUDY ORAMAS</t>
  </si>
  <si>
    <t>15,228,721</t>
  </si>
  <si>
    <t>WILMAR RODRIGUEZ</t>
  </si>
  <si>
    <t>27.212.065</t>
  </si>
  <si>
    <t>0424-5756718</t>
  </si>
  <si>
    <t>BARRIO LA CRUZ, POR LA COOPERATIVA SANTA CRUZ</t>
  </si>
  <si>
    <t>JESUS AGÜERO</t>
  </si>
  <si>
    <t>15.265.106</t>
  </si>
  <si>
    <t>0424-5828858</t>
  </si>
  <si>
    <t>DANIEL AGÜERO</t>
  </si>
  <si>
    <t>32.830.624</t>
  </si>
  <si>
    <t>0412-9633251</t>
  </si>
  <si>
    <t>MARCELO DAZA</t>
  </si>
  <si>
    <t>29.737.990</t>
  </si>
  <si>
    <t>0424-5882516</t>
  </si>
  <si>
    <t>CABUDARE, EL TRIGAL, AV LA MONTAÑITA, AL FRENTE DE CARNIVORO</t>
  </si>
  <si>
    <t>MARIA FERNANDA RENDON</t>
  </si>
  <si>
    <t>32.728.315</t>
  </si>
  <si>
    <t>0412-1539606</t>
  </si>
  <si>
    <t>COBRANZA CHORONI UNIDAD 1                                                                                                                                    SABADO 22 Y DOMINGO 23 DE AGOSTO</t>
  </si>
  <si>
    <t xml:space="preserve">MATRIMONIAL                                                          </t>
  </si>
  <si>
    <t xml:space="preserve">TRIPLE                                                                            </t>
  </si>
  <si>
    <t>CUADRUPLE</t>
  </si>
  <si>
    <t>QUINTUPLE</t>
  </si>
  <si>
    <t xml:space="preserve">RAIZA </t>
  </si>
  <si>
    <t>PROVINCIAL</t>
  </si>
  <si>
    <t>3504 BNC</t>
  </si>
  <si>
    <t>BNC</t>
  </si>
  <si>
    <t>6862 BNC</t>
  </si>
  <si>
    <t>7325 BANESCO</t>
  </si>
  <si>
    <t>7794 BANESCO</t>
  </si>
  <si>
    <t>WILMAR</t>
  </si>
  <si>
    <t>5511 BANESCO</t>
  </si>
  <si>
    <t>2449 BNAESCO</t>
  </si>
  <si>
    <t>6251 BANESCO</t>
  </si>
  <si>
    <t>8039 BANESCO</t>
  </si>
  <si>
    <t>9810 BANESCO</t>
  </si>
  <si>
    <t>ANA</t>
  </si>
  <si>
    <t>1660 BANESCO</t>
  </si>
  <si>
    <t>1771 BANESCO</t>
  </si>
  <si>
    <t>1626 BANESCO</t>
  </si>
  <si>
    <t>2062 BANESCO</t>
  </si>
  <si>
    <t>9624 BANESCO</t>
  </si>
  <si>
    <t>2398 BANESCO</t>
  </si>
  <si>
    <t>NUVIA</t>
  </si>
  <si>
    <t>8446 BNC</t>
  </si>
  <si>
    <t>3898 BNC</t>
  </si>
  <si>
    <t>1937 BNC</t>
  </si>
  <si>
    <t>YASMENI</t>
  </si>
  <si>
    <t>6351 VZLA</t>
  </si>
  <si>
    <t>ELISA</t>
  </si>
  <si>
    <t>1273 PROVINCIAL</t>
  </si>
  <si>
    <t>1419 PROVINCIAL</t>
  </si>
  <si>
    <t>1519 PROVINCIAL</t>
  </si>
  <si>
    <t>1962 PROVINCIAL</t>
  </si>
  <si>
    <t>DARYE</t>
  </si>
  <si>
    <t>1621 MERCANTIL</t>
  </si>
  <si>
    <t>1600 BINANCE</t>
  </si>
  <si>
    <t>MARBELYS</t>
  </si>
  <si>
    <t>2441 VZLA</t>
  </si>
  <si>
    <t>9962 BANESCO</t>
  </si>
  <si>
    <t>7873 VZLA</t>
  </si>
  <si>
    <t>9775 BANESCO</t>
  </si>
  <si>
    <t>1645 BANCAMIGA</t>
  </si>
  <si>
    <t>6991 BANPLUS</t>
  </si>
  <si>
    <t>YOHANNY</t>
  </si>
  <si>
    <t>9535 BANPLUS</t>
  </si>
  <si>
    <t>PROVINCIAL JAILIMAR</t>
  </si>
  <si>
    <t>7127 BANESCO</t>
  </si>
  <si>
    <t>4443 VZLA</t>
  </si>
  <si>
    <t>4992 BINANCE</t>
  </si>
  <si>
    <t>0352 BINANCE</t>
  </si>
  <si>
    <t>TRAVELBQTO                                                                                                       CAYO SOMBRERO + JUANES UNIDAD I                                                                            DOMINGO 23/08/2026</t>
  </si>
  <si>
    <t>UNIDAD I CAYO SOMBRERO + JUANES DOMINGO 23/08/2026</t>
  </si>
  <si>
    <t>PUESTO                                                                        REF. 31</t>
  </si>
  <si>
    <t>JOSE ZARLENGO</t>
  </si>
  <si>
    <t xml:space="preserve"> CABUDARE, RESIDENCIA BONSAI</t>
  </si>
  <si>
    <t>SOLO IDA</t>
  </si>
  <si>
    <t>ALEJANDRA NOGUERA</t>
  </si>
  <si>
    <t>15.599.744</t>
  </si>
  <si>
    <t>0416-5538484</t>
  </si>
  <si>
    <t xml:space="preserve">CABUDARE, SECTOR CRUZ DEL VALLE, CALLE 2 </t>
  </si>
  <si>
    <t>GISSELL CARRILLO</t>
  </si>
  <si>
    <t>29.707.917</t>
  </si>
  <si>
    <t>0424-5272443</t>
  </si>
  <si>
    <t>ANNY HUMPHREY</t>
  </si>
  <si>
    <t>15.386.004</t>
  </si>
  <si>
    <t>0412-4263952</t>
  </si>
  <si>
    <t>CABUDARE, AV TEREPAIMA CON CALLE INTERNA SOL DE TEREPAIMA</t>
  </si>
  <si>
    <t>HANNAH TARFF</t>
  </si>
  <si>
    <t>DANIELVI NAVARRO</t>
  </si>
  <si>
    <t>0424-3112111</t>
  </si>
  <si>
    <t>CABUDARE, URB HORIZONTE (LA MENDERA)</t>
  </si>
  <si>
    <t>CLIENTE TARVEL</t>
  </si>
  <si>
    <t>RONALD RONDON</t>
  </si>
  <si>
    <t>0412-5719135</t>
  </si>
  <si>
    <t>ARIANYIE GIL</t>
  </si>
  <si>
    <t>26.370.455</t>
  </si>
  <si>
    <t>0416-1738372</t>
  </si>
  <si>
    <t>JUAN NUÑEZ</t>
  </si>
  <si>
    <t>30.471.677</t>
  </si>
  <si>
    <t>0424-5832673</t>
  </si>
  <si>
    <t>RESIDENCIAS TERRACOTA SECTOR EL UJANO</t>
  </si>
  <si>
    <t>RUBEN</t>
  </si>
  <si>
    <t>URB. LA CARUCIENA AV 4 CALLE 15</t>
  </si>
  <si>
    <t>ASTRID URDANETA</t>
  </si>
  <si>
    <t>17.504.734</t>
  </si>
  <si>
    <t>0412-5260500</t>
  </si>
  <si>
    <t>YARITAGUA, TRICENTENARIA CON AV BOLIVAR</t>
  </si>
  <si>
    <t>LENNY MENDOZA</t>
  </si>
  <si>
    <t>17.813.838</t>
  </si>
  <si>
    <t>0412-5200678</t>
  </si>
  <si>
    <t>YARITAGUA, URB TRICENTENARIA</t>
  </si>
  <si>
    <t>JONNALYS GARCIA</t>
  </si>
  <si>
    <t>33.018.136</t>
  </si>
  <si>
    <t>KAMILA SUAREZ</t>
  </si>
  <si>
    <t>36.536.766</t>
  </si>
  <si>
    <t>JAMIER FIGUEREDO</t>
  </si>
  <si>
    <t>36.291.650</t>
  </si>
  <si>
    <t>KEINER MENDOZA</t>
  </si>
  <si>
    <t>36.224.040</t>
  </si>
  <si>
    <t>JAMINSON FIGUEREDO</t>
  </si>
  <si>
    <t>33.861.207</t>
  </si>
  <si>
    <t>TAHIS DOMINGUEZ</t>
  </si>
  <si>
    <t>23.601.075</t>
  </si>
  <si>
    <t>0412-5542467</t>
  </si>
  <si>
    <t>CLARIBEL CARMONA</t>
  </si>
  <si>
    <t>12.551.382</t>
  </si>
  <si>
    <t>0412-5274805</t>
  </si>
  <si>
    <t>DENEYER MELEAN</t>
  </si>
  <si>
    <t>26.812.977</t>
  </si>
  <si>
    <t>0424-5012518</t>
  </si>
  <si>
    <t>CALLE 31 ENTRE CARRERAS 38 Y 39</t>
  </si>
  <si>
    <t>ROSAURA MARQUEZ</t>
  </si>
  <si>
    <t>30.018.112</t>
  </si>
  <si>
    <t>0412-1774687</t>
  </si>
  <si>
    <t>DANIELA CAMACHO</t>
  </si>
  <si>
    <t>31.467.545</t>
  </si>
  <si>
    <t>0424-4454037</t>
  </si>
  <si>
    <t>CABUDARE, URB EL TRIGAL</t>
  </si>
  <si>
    <t>YEIKER CHACON</t>
  </si>
  <si>
    <t>31.098.075</t>
  </si>
  <si>
    <t>0424-5705160</t>
  </si>
  <si>
    <t>YERALDYN LOPEZ</t>
  </si>
  <si>
    <t>18.446.255</t>
  </si>
  <si>
    <t>0412-8550384</t>
  </si>
  <si>
    <t>DIAGONAL A LA ENTRADA DE LA RUEZGA SUR</t>
  </si>
  <si>
    <t>VICTORIA TERAN</t>
  </si>
  <si>
    <t>33.440.115</t>
  </si>
  <si>
    <t>0422-3550469</t>
  </si>
  <si>
    <t>ALEJANDRA LEO</t>
  </si>
  <si>
    <t>33.773.980</t>
  </si>
  <si>
    <t>ALEJANDRO LEO</t>
  </si>
  <si>
    <t>34.475.953</t>
  </si>
  <si>
    <t>ANALY VENEGAS</t>
  </si>
  <si>
    <t>19.106.329</t>
  </si>
  <si>
    <t>0424-5349248</t>
  </si>
  <si>
    <t>COBRANZA CAYO SOMBRERO + JUANES UNIDAD 1                                                                                                                                    DOMINGO 23 DE AGOSTO</t>
  </si>
  <si>
    <t>EXONERADO</t>
  </si>
  <si>
    <t>0208 BINANCE</t>
  </si>
  <si>
    <t>2 ALMUERZOS CLIENTE DANIELA</t>
  </si>
  <si>
    <t>0227 BANESCO</t>
  </si>
  <si>
    <t>2192 BINANCE</t>
  </si>
  <si>
    <t>1 ALMUERZO CLIENTE ANNY</t>
  </si>
  <si>
    <t>PROVINCIAL ANNY</t>
  </si>
  <si>
    <t>1 ALMUERZO CLIENTE ROSAURA</t>
  </si>
  <si>
    <t>916, 01</t>
  </si>
  <si>
    <t>1475 BANCAMIGA</t>
  </si>
  <si>
    <t>LENNY</t>
  </si>
  <si>
    <t>PROVINCIAL LENNY</t>
  </si>
  <si>
    <t>8133 VZLA</t>
  </si>
  <si>
    <t>DANI</t>
  </si>
  <si>
    <t>3221 VZLA</t>
  </si>
  <si>
    <t>0125 BANESCO</t>
  </si>
  <si>
    <t>SOBRAN 28$ PARA 2 ALMUERZOS</t>
  </si>
  <si>
    <t>YERALDINE LOPEZ</t>
  </si>
  <si>
    <t>2108 VZLA</t>
  </si>
  <si>
    <t>PROVINCIAL ANALY</t>
  </si>
  <si>
    <t>0620 VZLA</t>
  </si>
  <si>
    <t>3821 BDT</t>
  </si>
  <si>
    <t>ANNY HUMPRHEY</t>
  </si>
  <si>
    <t>USDT RESTANTE VIAJE MERIDA</t>
  </si>
  <si>
    <t>USDT BINANCE</t>
  </si>
  <si>
    <t>2416 BINANCE</t>
  </si>
  <si>
    <t xml:space="preserve">ALEJANDRA NOGUERA </t>
  </si>
  <si>
    <t>3161 VZLA</t>
  </si>
  <si>
    <t>GISSELL CARRILO</t>
  </si>
  <si>
    <t>7585 VZLA</t>
  </si>
  <si>
    <t>2704 VZLA</t>
  </si>
  <si>
    <t>DENEYER</t>
  </si>
  <si>
    <t>9815 BANCAMIGA</t>
  </si>
  <si>
    <t>ROSAURA</t>
  </si>
  <si>
    <t>5402 BANCAMIGA</t>
  </si>
  <si>
    <t>DANI ORTIZ</t>
  </si>
  <si>
    <t>ARIANGIE</t>
  </si>
  <si>
    <t>7855 VZLA</t>
  </si>
  <si>
    <t>3321 VZLA</t>
  </si>
  <si>
    <t>2201 TESORO</t>
  </si>
  <si>
    <t>6088 BANPLUS</t>
  </si>
  <si>
    <t>MAIA</t>
  </si>
  <si>
    <t>0918 MERCANTIL</t>
  </si>
  <si>
    <t>PIERDE LA RESERVA</t>
  </si>
  <si>
    <t>DEIV</t>
  </si>
  <si>
    <t>7521 BINANCE</t>
  </si>
  <si>
    <t>CLIENTES DE CAYO SAL SE LE PASAN A TOUR AZUL Y SE LE HACE PAGO MOVIL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</si>
</sst>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€-2]\ #,##0"/>
    <numFmt numFmtId="165" formatCode="[$$-540A]#,##0"/>
    <numFmt numFmtId="166" formatCode="dd/mm/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0" borderId="1" xfId="0" applyNumberFormat="1" applyBorder="1"/>
    <xf numFmtId="164" fontId="1" fillId="6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" fontId="0" fillId="0" borderId="1" xfId="0" applyNumberForma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0" xfId="0" applyFill="1" applyAlignment="1">
      <alignment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165" fontId="1" fillId="8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5" xfId="0" applyNumberFormat="1" applyFill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166" fontId="0" fillId="0" borderId="0" xfId="0" applyNumberFormat="1" applyFill="1"/>
    <xf numFmtId="166" fontId="0" fillId="0" borderId="0" xfId="0" applyNumberForma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3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0" fillId="9" borderId="0" xfId="0" applyFill="1"/>
    <xf numFmtId="0" fontId="6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165" fontId="1" fillId="8" borderId="2" xfId="0" applyNumberFormat="1" applyFont="1" applyFill="1" applyBorder="1" applyAlignment="1">
      <alignment horizontal="center" vertical="center"/>
    </xf>
    <xf numFmtId="165" fontId="1" fillId="8" borderId="3" xfId="0" applyNumberFormat="1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Fill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8" borderId="4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19049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474"/>
          <a:ext cx="6887903" cy="1150312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19049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474"/>
          <a:ext cx="6887903" cy="115031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19049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474"/>
          <a:ext cx="6887903" cy="1150312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19049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474"/>
          <a:ext cx="6887903" cy="1150312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19049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474"/>
          <a:ext cx="6887903" cy="1150312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19049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474"/>
          <a:ext cx="6887903" cy="1150312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19049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474"/>
          <a:ext cx="6887903" cy="1150312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19049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474"/>
          <a:ext cx="6887903" cy="1150312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19049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3099"/>
          <a:ext cx="6887903" cy="1150312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19049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474"/>
          <a:ext cx="6887903" cy="1150312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3686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0111"/>
          <a:ext cx="6887903" cy="1150312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19049</xdr:rowOff>
    </xdr:from>
    <xdr:ext cx="6887903" cy="1150312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474"/>
          <a:ext cx="6887903" cy="115031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AVEL%20BQTO\NUEVO\08-2026%20TRAVEL%20AGOST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YO MUERTO (01-08)"/>
      <sheetName val="COBRANZA CAYO MUERTO (01-08)"/>
      <sheetName val="DUNAS (01-08)"/>
      <sheetName val="COBRANZA DUNAS (01-08)"/>
      <sheetName val="CUBIRO (02-08)"/>
      <sheetName val="COBRANZA CUBIRO (02-08)"/>
      <sheetName val="VARADERO (08-08)"/>
      <sheetName val="COBRANZA VARADERO (08-08)"/>
      <sheetName val="CAYO MUERTO (15-08)"/>
      <sheetName val="COBRANZA CAYO MUERTO (15-08)"/>
      <sheetName val="CAYO MUERTO 2 (15-08)"/>
      <sheetName val="COBRANZA CAYO MUERTO 2 (15-08)"/>
      <sheetName val="TOUR FALCON (15-08)"/>
      <sheetName val="COBRANZA TOUR FALCON (15-08)"/>
      <sheetName val="CASCADA DEL VINO (16-08)"/>
      <sheetName val="COBRANZA CASCADA VINO (16-08)"/>
      <sheetName val="PLAYA (22-08)"/>
      <sheetName val="COBRANZA PLAYA (22-08)"/>
      <sheetName val="LA GRIETA (22-08)"/>
      <sheetName val="COBRANZA GRIETA (22-08)"/>
      <sheetName val="CHORONI (22-08)"/>
      <sheetName val="COBRANZA CHORONI (22-08)"/>
      <sheetName val="CAYO SOMBRERO (23-08)"/>
      <sheetName val="COBRANZA CAYO SOMBRERO (23-08)"/>
      <sheetName val="CUBIRO (23-08)"/>
      <sheetName val="COBRANZA CUBIRO (23-08)"/>
      <sheetName val="MERIDA (29-08)"/>
      <sheetName val="COBRANZA MERIDA (29-08)"/>
      <sheetName val="MERIDA UND 2 (29-08)"/>
      <sheetName val="COBRANZA MERIDA UND 2 (29-08)"/>
      <sheetName val="CAYO MUERTO (29-08)"/>
      <sheetName val="COBRANZA CAYO MUERTO (29-08)"/>
      <sheetName val="COLONIA TOVAR (29-08)"/>
      <sheetName val="COBRANZA COLONIA TOVAR (29-08)"/>
      <sheetName val="DUNAS (29-08)"/>
      <sheetName val="COBRANZA DUNAS (29-08)"/>
      <sheetName val="CAYO SAL (30-08)"/>
      <sheetName val="COBRANZA CAYO SAL (30-08)"/>
      <sheetName val="LA GRIETA (30-08)"/>
      <sheetName val="JACUZZIS (30-08)"/>
    </sheetNames>
    <sheetDataSet>
      <sheetData sheetId="0">
        <row r="4">
          <cell r="H4" t="str">
            <v>CARLOS LAMAS</v>
          </cell>
        </row>
        <row r="5">
          <cell r="H5" t="str">
            <v>CARLOS LAMAS</v>
          </cell>
        </row>
        <row r="8">
          <cell r="H8" t="str">
            <v>MARISOL ROA</v>
          </cell>
        </row>
        <row r="9">
          <cell r="H9" t="str">
            <v>DANNY PERAZA</v>
          </cell>
        </row>
        <row r="11">
          <cell r="H11" t="str">
            <v>HECTOR ORTEGA</v>
          </cell>
        </row>
        <row r="14">
          <cell r="H14" t="str">
            <v>ODALIS LINARES</v>
          </cell>
        </row>
        <row r="15">
          <cell r="H15" t="str">
            <v>VALERY PEREZ</v>
          </cell>
        </row>
        <row r="20">
          <cell r="H20" t="str">
            <v>ALEXANDRA PERAZA</v>
          </cell>
        </row>
        <row r="21">
          <cell r="H21" t="str">
            <v>DANIEL PERAZA</v>
          </cell>
        </row>
        <row r="22">
          <cell r="H22" t="str">
            <v>KISBELIS TORRES</v>
          </cell>
        </row>
        <row r="23">
          <cell r="H23" t="str">
            <v>LUCIANA ORTEGA</v>
          </cell>
        </row>
        <row r="26">
          <cell r="H26" t="str">
            <v>ALAN &amp; DILAN PEREZ</v>
          </cell>
        </row>
      </sheetData>
      <sheetData sheetId="1"/>
      <sheetData sheetId="2">
        <row r="4">
          <cell r="H4" t="str">
            <v>ARMANDO NAVARRO + NIÑO</v>
          </cell>
        </row>
        <row r="5">
          <cell r="H5" t="str">
            <v>DIEGO NAVARRO + NIÑO</v>
          </cell>
        </row>
        <row r="6">
          <cell r="H6" t="str">
            <v>SEBASTIAN NAVARRO</v>
          </cell>
        </row>
        <row r="7">
          <cell r="H7" t="str">
            <v>ANNERYS MUÑOZ</v>
          </cell>
        </row>
        <row r="8">
          <cell r="H8" t="str">
            <v>JOSMAR RODRIGUEZ</v>
          </cell>
        </row>
        <row r="9">
          <cell r="H9" t="str">
            <v>EDUARD GUY</v>
          </cell>
        </row>
        <row r="16">
          <cell r="H16" t="str">
            <v>LISANDRO JIMENEZ</v>
          </cell>
        </row>
        <row r="20">
          <cell r="H20" t="str">
            <v>CARLOS CESTRA</v>
          </cell>
        </row>
        <row r="21">
          <cell r="H21" t="str">
            <v>CARLOS CESTRA</v>
          </cell>
        </row>
        <row r="24">
          <cell r="H24" t="str">
            <v>MARIANGEL SUAREZ</v>
          </cell>
        </row>
        <row r="25">
          <cell r="H25" t="str">
            <v>NESTOR MELENDEZ</v>
          </cell>
        </row>
        <row r="26">
          <cell r="H26" t="str">
            <v>WILKAR MEDINA</v>
          </cell>
        </row>
        <row r="27">
          <cell r="H27" t="str">
            <v>KEYLA ESCALONA</v>
          </cell>
        </row>
      </sheetData>
      <sheetData sheetId="3"/>
      <sheetData sheetId="4">
        <row r="4">
          <cell r="H4" t="str">
            <v>JOHAN GUAINA</v>
          </cell>
        </row>
        <row r="5">
          <cell r="H5" t="str">
            <v>JOHAN GUAINA</v>
          </cell>
        </row>
        <row r="8">
          <cell r="H8" t="str">
            <v>ARANZA GIL</v>
          </cell>
        </row>
        <row r="9">
          <cell r="H9" t="str">
            <v>ARANZA GIL</v>
          </cell>
        </row>
        <row r="12">
          <cell r="H12" t="str">
            <v>GEORGINA BRIONES</v>
          </cell>
        </row>
        <row r="13">
          <cell r="H13" t="str">
            <v>ROSSYRIS PEREZ</v>
          </cell>
        </row>
        <row r="14">
          <cell r="H14" t="str">
            <v>MYLANIA MAVARES</v>
          </cell>
        </row>
        <row r="15">
          <cell r="H15" t="str">
            <v>JOSE GARCIA</v>
          </cell>
        </row>
        <row r="16">
          <cell r="H16" t="str">
            <v>EDGAR RODRIGUEZ</v>
          </cell>
        </row>
        <row r="17">
          <cell r="H17" t="str">
            <v>ADRIAN MARTINEZ</v>
          </cell>
        </row>
        <row r="22">
          <cell r="H22" t="str">
            <v>KARLA CASTELLANO</v>
          </cell>
        </row>
        <row r="23">
          <cell r="H23" t="str">
            <v>MANUEL VILLANUEVA</v>
          </cell>
        </row>
        <row r="25">
          <cell r="H25" t="str">
            <v>ALBERTH SILVA</v>
          </cell>
        </row>
        <row r="26">
          <cell r="H26" t="str">
            <v>MARIA SEQUERA</v>
          </cell>
        </row>
        <row r="27">
          <cell r="H27" t="str">
            <v>EDGAR FREITEZ</v>
          </cell>
        </row>
      </sheetData>
      <sheetData sheetId="5"/>
      <sheetData sheetId="6">
        <row r="4">
          <cell r="H4" t="str">
            <v>NAGUARA TOURS</v>
          </cell>
        </row>
        <row r="5">
          <cell r="H5" t="str">
            <v>NAGUARA TOURS</v>
          </cell>
        </row>
        <row r="6">
          <cell r="H6" t="str">
            <v>NAGUARA TOURS</v>
          </cell>
        </row>
        <row r="7">
          <cell r="H7" t="str">
            <v>NAGUARA TOURS</v>
          </cell>
        </row>
        <row r="8">
          <cell r="H8" t="str">
            <v>NAGUARA TOURS</v>
          </cell>
        </row>
        <row r="9">
          <cell r="H9" t="str">
            <v>NAGUARA TOURS</v>
          </cell>
        </row>
        <row r="10">
          <cell r="H10" t="str">
            <v>GABRIEL MARCHAN</v>
          </cell>
        </row>
        <row r="11">
          <cell r="H11" t="str">
            <v>MARIED RODRIGUEZ</v>
          </cell>
        </row>
        <row r="12">
          <cell r="H12" t="str">
            <v>KENDRY PAEZ</v>
          </cell>
        </row>
        <row r="13">
          <cell r="H13" t="str">
            <v>YOSELYN COLMENARES</v>
          </cell>
        </row>
        <row r="14">
          <cell r="H14" t="str">
            <v>NAGUARA TOURS</v>
          </cell>
        </row>
        <row r="15">
          <cell r="H15" t="str">
            <v>NAGUARA TOURS</v>
          </cell>
        </row>
        <row r="16">
          <cell r="H16" t="str">
            <v>NAGUARA TOURS</v>
          </cell>
        </row>
        <row r="17">
          <cell r="H17" t="str">
            <v>NAGUARA TOURS</v>
          </cell>
        </row>
        <row r="18">
          <cell r="H18" t="str">
            <v>NAGUARA TOURS</v>
          </cell>
        </row>
        <row r="19">
          <cell r="H19" t="str">
            <v>MARIA ARRIECHE</v>
          </cell>
        </row>
        <row r="20">
          <cell r="H20" t="str">
            <v>VICTORIA ARRIECHE</v>
          </cell>
        </row>
        <row r="21">
          <cell r="H21" t="str">
            <v>MIRANDA ARRIECHE</v>
          </cell>
        </row>
        <row r="22">
          <cell r="H22" t="str">
            <v>ODALYS BECERRA</v>
          </cell>
        </row>
        <row r="23">
          <cell r="H23" t="str">
            <v>JOSE RODRIGUEZ</v>
          </cell>
        </row>
        <row r="24">
          <cell r="H24" t="str">
            <v>MARILYS MUJICA</v>
          </cell>
        </row>
        <row r="25">
          <cell r="H25" t="str">
            <v>FIORELLA RODRIGUEZ</v>
          </cell>
        </row>
        <row r="26">
          <cell r="H26" t="str">
            <v>OSMARLYN COLMENAREZ</v>
          </cell>
        </row>
        <row r="27">
          <cell r="H27" t="str">
            <v>MANUEL PEREZ</v>
          </cell>
        </row>
        <row r="28">
          <cell r="H28" t="str">
            <v>NAGUARA TOURS</v>
          </cell>
        </row>
        <row r="29">
          <cell r="H29" t="str">
            <v>NAGUARA TOURS</v>
          </cell>
        </row>
        <row r="30">
          <cell r="H30" t="str">
            <v>NAGUARA TOURS</v>
          </cell>
        </row>
        <row r="31">
          <cell r="H31" t="str">
            <v>NAGUARA TOURS</v>
          </cell>
        </row>
        <row r="32">
          <cell r="H32" t="str">
            <v>NAGUARA TOURS</v>
          </cell>
        </row>
        <row r="33">
          <cell r="H33" t="str">
            <v>NAGUARA TOURS</v>
          </cell>
        </row>
        <row r="34">
          <cell r="H34" t="str">
            <v>NAGUARA TOURS</v>
          </cell>
        </row>
      </sheetData>
      <sheetData sheetId="7"/>
      <sheetData sheetId="8">
        <row r="4">
          <cell r="H4" t="str">
            <v>MARIA COROBO</v>
          </cell>
        </row>
        <row r="5">
          <cell r="H5" t="str">
            <v>JOSE R. TESORERO</v>
          </cell>
        </row>
        <row r="6">
          <cell r="H6" t="str">
            <v>SARAY PACHECO</v>
          </cell>
        </row>
        <row r="7">
          <cell r="H7" t="str">
            <v>JOSE G. TESORERO</v>
          </cell>
        </row>
        <row r="8">
          <cell r="H8" t="str">
            <v>PIERINA DI MARIA</v>
          </cell>
        </row>
        <row r="9">
          <cell r="H9" t="str">
            <v>ALLER MELENDEZ</v>
          </cell>
        </row>
        <row r="10">
          <cell r="H10" t="str">
            <v>ROSSELYN CHACON</v>
          </cell>
        </row>
        <row r="11">
          <cell r="H11" t="str">
            <v>ROSSELYN CHACON</v>
          </cell>
        </row>
        <row r="12">
          <cell r="H12" t="str">
            <v>ABRAHAN RAMOS</v>
          </cell>
        </row>
        <row r="13">
          <cell r="H13" t="str">
            <v>ANDRES RAMOS</v>
          </cell>
        </row>
        <row r="14">
          <cell r="H14" t="str">
            <v>MARIA FLORES</v>
          </cell>
        </row>
        <row r="15">
          <cell r="H15" t="str">
            <v>ELVIS SALAS</v>
          </cell>
        </row>
        <row r="16">
          <cell r="H16" t="str">
            <v>YAJAIRA RODRIGUEZ</v>
          </cell>
        </row>
        <row r="17">
          <cell r="H17" t="str">
            <v>TOUR AZUL</v>
          </cell>
        </row>
        <row r="18">
          <cell r="H18" t="str">
            <v>TOUR AZUL</v>
          </cell>
        </row>
        <row r="19">
          <cell r="H19" t="str">
            <v>TOUR AZUL</v>
          </cell>
        </row>
        <row r="20">
          <cell r="H20" t="str">
            <v>TOUR AZUL</v>
          </cell>
        </row>
        <row r="21">
          <cell r="H21" t="str">
            <v>TOUR AZUL</v>
          </cell>
        </row>
        <row r="22">
          <cell r="H22" t="str">
            <v>TOUR AZUL</v>
          </cell>
        </row>
        <row r="23">
          <cell r="H23" t="str">
            <v>TOUR AZUL</v>
          </cell>
        </row>
        <row r="24">
          <cell r="H24" t="str">
            <v>TOUR AZUL</v>
          </cell>
        </row>
        <row r="25">
          <cell r="H25" t="str">
            <v>TOUR AZUL</v>
          </cell>
        </row>
        <row r="26">
          <cell r="H26" t="str">
            <v>TOUR AZUL</v>
          </cell>
        </row>
        <row r="27">
          <cell r="H27" t="str">
            <v>TOUR AZUL</v>
          </cell>
        </row>
        <row r="28">
          <cell r="H28" t="str">
            <v>TOUR AZUL</v>
          </cell>
        </row>
        <row r="29">
          <cell r="H29" t="str">
            <v>TOUR AZUL</v>
          </cell>
        </row>
        <row r="30">
          <cell r="H30" t="str">
            <v>TOUR AZUL</v>
          </cell>
        </row>
        <row r="31">
          <cell r="H31" t="str">
            <v>TOUR AZUL</v>
          </cell>
        </row>
        <row r="32">
          <cell r="H32" t="str">
            <v>TOUR AZUL</v>
          </cell>
        </row>
        <row r="33">
          <cell r="H33" t="str">
            <v>TOUR AZUL</v>
          </cell>
        </row>
        <row r="34">
          <cell r="H34" t="str">
            <v>TOUR AZUL</v>
          </cell>
        </row>
      </sheetData>
      <sheetData sheetId="9"/>
      <sheetData sheetId="10">
        <row r="4">
          <cell r="H4" t="str">
            <v>VALENTINA</v>
          </cell>
        </row>
        <row r="5">
          <cell r="H5" t="str">
            <v>VALENTINA</v>
          </cell>
        </row>
        <row r="6">
          <cell r="H6" t="str">
            <v>VALENTINA</v>
          </cell>
        </row>
        <row r="7">
          <cell r="H7" t="str">
            <v>VALENTINA</v>
          </cell>
        </row>
        <row r="8">
          <cell r="H8" t="str">
            <v>TOUR AZUL</v>
          </cell>
        </row>
        <row r="9">
          <cell r="H9" t="str">
            <v>TOUR AZUL</v>
          </cell>
        </row>
        <row r="10">
          <cell r="H10" t="str">
            <v>TOUR AZUL</v>
          </cell>
        </row>
        <row r="11">
          <cell r="H11" t="str">
            <v>TOUR AZUL</v>
          </cell>
        </row>
        <row r="12">
          <cell r="H12" t="str">
            <v>TOUR AZUL</v>
          </cell>
        </row>
        <row r="13">
          <cell r="H13" t="str">
            <v>TOUR AZUL</v>
          </cell>
        </row>
        <row r="14">
          <cell r="H14" t="str">
            <v>TOUR AZUL</v>
          </cell>
        </row>
      </sheetData>
      <sheetData sheetId="11"/>
      <sheetData sheetId="12">
        <row r="4">
          <cell r="H4" t="str">
            <v>EDELMARYS CHIRINOS</v>
          </cell>
        </row>
        <row r="5">
          <cell r="H5" t="str">
            <v>ELIANNY GOMEZ</v>
          </cell>
        </row>
        <row r="6">
          <cell r="H6" t="str">
            <v>NELIDA SECO</v>
          </cell>
        </row>
        <row r="7">
          <cell r="H7" t="str">
            <v>RICHAR COLINA</v>
          </cell>
        </row>
        <row r="8">
          <cell r="H8" t="str">
            <v>SARA DIAZ</v>
          </cell>
        </row>
        <row r="9">
          <cell r="H9" t="str">
            <v>JUAN DIAZ</v>
          </cell>
        </row>
        <row r="10">
          <cell r="H10" t="str">
            <v>ANAIBETH ORELLANA</v>
          </cell>
        </row>
        <row r="11">
          <cell r="H11" t="str">
            <v>ARANZA ALVAREZ</v>
          </cell>
        </row>
        <row r="12">
          <cell r="H12" t="str">
            <v>LILIBETH PASTRAN +NIÑO</v>
          </cell>
        </row>
        <row r="13">
          <cell r="H13" t="str">
            <v>RAIMAR ALVAREZ</v>
          </cell>
        </row>
        <row r="14">
          <cell r="H14" t="str">
            <v>IVAN CARRILO</v>
          </cell>
        </row>
        <row r="15">
          <cell r="H15" t="str">
            <v>BELKIS DE CARRILO</v>
          </cell>
        </row>
        <row r="16">
          <cell r="H16" t="str">
            <v>RAYMIR</v>
          </cell>
        </row>
        <row r="17">
          <cell r="H17" t="str">
            <v>ERIANNY MENDOZA</v>
          </cell>
        </row>
        <row r="18">
          <cell r="H18" t="str">
            <v>NAHOMY COLINA</v>
          </cell>
        </row>
        <row r="19">
          <cell r="H19" t="str">
            <v>NELIDA SECO</v>
          </cell>
        </row>
        <row r="20">
          <cell r="H20" t="str">
            <v>ANA TERESA PARGAS</v>
          </cell>
        </row>
        <row r="21">
          <cell r="H21" t="str">
            <v>TANIA BODOR</v>
          </cell>
        </row>
        <row r="22">
          <cell r="H22" t="str">
            <v>MARIA CESTARI</v>
          </cell>
        </row>
        <row r="23">
          <cell r="H23" t="str">
            <v>ZULEIMA CESTARI</v>
          </cell>
        </row>
        <row r="24">
          <cell r="H24" t="str">
            <v>ALEXANDRA MORILLO</v>
          </cell>
        </row>
        <row r="25">
          <cell r="H25" t="str">
            <v>ANDREINA RAMOS</v>
          </cell>
        </row>
        <row r="26">
          <cell r="H26" t="str">
            <v>ISMARY VELASQUEZ</v>
          </cell>
        </row>
        <row r="27">
          <cell r="H27" t="str">
            <v>LUIS MORENO</v>
          </cell>
        </row>
        <row r="28">
          <cell r="H28" t="str">
            <v>GENESIS CARDENAS</v>
          </cell>
        </row>
        <row r="29">
          <cell r="H29" t="str">
            <v>ROSMERY MENDOZA</v>
          </cell>
        </row>
      </sheetData>
      <sheetData sheetId="13"/>
      <sheetData sheetId="14">
        <row r="4">
          <cell r="H4" t="str">
            <v>NAIBETH ARRIECHE</v>
          </cell>
        </row>
        <row r="5">
          <cell r="H5" t="str">
            <v>CARLINA VASQUEZ</v>
          </cell>
        </row>
        <row r="6">
          <cell r="H6" t="str">
            <v>WALESKA COUPUT</v>
          </cell>
        </row>
        <row r="7">
          <cell r="H7" t="str">
            <v>LILIANGELYS PEREZ</v>
          </cell>
        </row>
        <row r="8">
          <cell r="H8" t="str">
            <v>AVRIL MENDEZ</v>
          </cell>
        </row>
        <row r="9">
          <cell r="H9" t="str">
            <v>YEIMAR COROBA</v>
          </cell>
        </row>
        <row r="10">
          <cell r="H10" t="str">
            <v>ALEYDA JIMENEZ</v>
          </cell>
        </row>
        <row r="11">
          <cell r="H11" t="str">
            <v>JUANANGEL MENDEZ</v>
          </cell>
        </row>
        <row r="14">
          <cell r="H14" t="str">
            <v>MARYELI SEQUERA + NIÑA</v>
          </cell>
        </row>
        <row r="15">
          <cell r="H15" t="str">
            <v>ANGELINA RODRIGUEZ</v>
          </cell>
        </row>
        <row r="16">
          <cell r="H16" t="str">
            <v>FABIANA RODRIGUEZ</v>
          </cell>
        </row>
        <row r="18">
          <cell r="H18" t="str">
            <v>DANIMAR LEAL</v>
          </cell>
        </row>
        <row r="19">
          <cell r="H19" t="str">
            <v>PEDRO CRESPO</v>
          </cell>
        </row>
        <row r="20">
          <cell r="H20" t="str">
            <v>YAREXI PEREZ</v>
          </cell>
        </row>
        <row r="21">
          <cell r="H21" t="str">
            <v>YAIMAR PEREZ</v>
          </cell>
        </row>
        <row r="22">
          <cell r="H22" t="str">
            <v>RAIBETH CAMPOS</v>
          </cell>
        </row>
        <row r="23">
          <cell r="H23" t="str">
            <v>JHOSUE RODRIGUEZ</v>
          </cell>
        </row>
        <row r="24">
          <cell r="H24" t="str">
            <v>JAVIER BOSCAN</v>
          </cell>
        </row>
        <row r="25">
          <cell r="H25" t="str">
            <v>JOSE GONZALEZ</v>
          </cell>
        </row>
        <row r="27">
          <cell r="H27" t="str">
            <v>GREXI CABRERA</v>
          </cell>
        </row>
      </sheetData>
      <sheetData sheetId="15"/>
      <sheetData sheetId="16">
        <row r="4">
          <cell r="H4" t="str">
            <v>FRANCY JUSTO</v>
          </cell>
        </row>
        <row r="5">
          <cell r="H5" t="str">
            <v>SARAI VIRGUEZ</v>
          </cell>
        </row>
        <row r="6">
          <cell r="H6" t="str">
            <v>FRANCISCO JUSTO</v>
          </cell>
        </row>
        <row r="7">
          <cell r="H7" t="str">
            <v>ANDREA JUSTO</v>
          </cell>
        </row>
        <row r="8">
          <cell r="H8" t="str">
            <v>DILMAR VELASQUEZ</v>
          </cell>
        </row>
        <row r="9">
          <cell r="H9" t="str">
            <v>CATHY DE VELASQUEZ</v>
          </cell>
        </row>
        <row r="10">
          <cell r="H10" t="str">
            <v>JHOSMIR FERNANDEZ</v>
          </cell>
        </row>
        <row r="11">
          <cell r="H11" t="str">
            <v>JHOAN FERNANDEZ</v>
          </cell>
        </row>
        <row r="12">
          <cell r="H12" t="str">
            <v>RAFAEL VELASQUEZ</v>
          </cell>
        </row>
        <row r="13">
          <cell r="H13" t="str">
            <v>JHOSMAR FERNANDEZ</v>
          </cell>
        </row>
        <row r="14">
          <cell r="H14" t="str">
            <v>ALANIS CORRALES</v>
          </cell>
        </row>
        <row r="15">
          <cell r="H15" t="str">
            <v>ARIANA MORALES</v>
          </cell>
        </row>
        <row r="16">
          <cell r="H16" t="str">
            <v>NATALIA PEREZ</v>
          </cell>
        </row>
        <row r="17">
          <cell r="H17" t="str">
            <v>NATALIA PEREZ</v>
          </cell>
        </row>
        <row r="18">
          <cell r="H18" t="str">
            <v>ARON GARCIA</v>
          </cell>
        </row>
        <row r="19">
          <cell r="H19" t="str">
            <v>YHOAN LINARES</v>
          </cell>
        </row>
        <row r="20">
          <cell r="H20" t="str">
            <v>DOUGLAS FERNANDEZ</v>
          </cell>
        </row>
        <row r="21">
          <cell r="H21" t="str">
            <v>BARBARA CAÑIZALEZ</v>
          </cell>
        </row>
        <row r="22">
          <cell r="H22" t="str">
            <v>NATHALIA ALVARADO</v>
          </cell>
        </row>
        <row r="23">
          <cell r="H23" t="str">
            <v>XAVIER TORRES</v>
          </cell>
        </row>
        <row r="24">
          <cell r="H24" t="str">
            <v>DANMARYS TORRES</v>
          </cell>
        </row>
        <row r="25">
          <cell r="H25" t="str">
            <v>SULBARAN DOMINGUEZ</v>
          </cell>
        </row>
        <row r="26">
          <cell r="H26" t="str">
            <v>FRANKLIN CARUCI</v>
          </cell>
        </row>
        <row r="27">
          <cell r="H27" t="str">
            <v>MARLING QUERALES</v>
          </cell>
        </row>
        <row r="28">
          <cell r="H28" t="str">
            <v>CATHERINE CARUCI</v>
          </cell>
        </row>
        <row r="29">
          <cell r="H29" t="str">
            <v>FRANCO CARUCI</v>
          </cell>
        </row>
        <row r="30">
          <cell r="H30" t="str">
            <v>JHOEL RODRIGUEZ</v>
          </cell>
        </row>
        <row r="31">
          <cell r="H31" t="str">
            <v>ALEJANDRA RODRIGUEZ</v>
          </cell>
        </row>
        <row r="32">
          <cell r="H32" t="str">
            <v>NATALIA PEREZ</v>
          </cell>
        </row>
        <row r="33">
          <cell r="H33" t="str">
            <v>DIANYELA IBARRA</v>
          </cell>
        </row>
        <row r="34">
          <cell r="H34" t="str">
            <v>LUIS PIÑA</v>
          </cell>
        </row>
      </sheetData>
      <sheetData sheetId="17"/>
      <sheetData sheetId="18">
        <row r="4">
          <cell r="H4" t="str">
            <v>FRANK</v>
          </cell>
        </row>
        <row r="5">
          <cell r="H5" t="str">
            <v>FRANK</v>
          </cell>
        </row>
        <row r="6">
          <cell r="H6" t="str">
            <v>MILANGELA SANTELIZ</v>
          </cell>
        </row>
        <row r="7">
          <cell r="H7" t="str">
            <v>MILANGELA SANTELIZ</v>
          </cell>
        </row>
        <row r="8">
          <cell r="H8" t="str">
            <v>THIAGO REYES</v>
          </cell>
        </row>
        <row r="9">
          <cell r="H9" t="str">
            <v>SANTIAGO CORDERO</v>
          </cell>
        </row>
        <row r="10">
          <cell r="H10" t="str">
            <v>CAROLINA VASQUEZ</v>
          </cell>
        </row>
        <row r="11">
          <cell r="H11" t="str">
            <v>ROXANA MENDOZA</v>
          </cell>
        </row>
        <row r="12">
          <cell r="H12" t="str">
            <v>STEFANI CHAVEZ</v>
          </cell>
        </row>
        <row r="13">
          <cell r="H13" t="str">
            <v>KENNYMAR CHAVEZ</v>
          </cell>
        </row>
        <row r="14">
          <cell r="H14" t="str">
            <v>NAHOMI SUAREZ</v>
          </cell>
        </row>
      </sheetData>
      <sheetData sheetId="19"/>
      <sheetData sheetId="20">
        <row r="4">
          <cell r="H4" t="str">
            <v>YOHANNY LINAREZ</v>
          </cell>
        </row>
        <row r="5">
          <cell r="H5" t="str">
            <v>JAIMAR MARCHAN</v>
          </cell>
        </row>
        <row r="6">
          <cell r="H6" t="str">
            <v>RAIZA COLMENAREZ</v>
          </cell>
        </row>
        <row r="7">
          <cell r="H7" t="str">
            <v>YASMELY TORRES</v>
          </cell>
        </row>
        <row r="8">
          <cell r="H8" t="str">
            <v>NUVIA SALCEDO</v>
          </cell>
        </row>
        <row r="9">
          <cell r="H9" t="str">
            <v>CELESTE AGUILAR</v>
          </cell>
        </row>
        <row r="10">
          <cell r="H10" t="str">
            <v>EMILIANO CORDERO</v>
          </cell>
        </row>
        <row r="12">
          <cell r="H12" t="str">
            <v>VALENTINA ANZOLA</v>
          </cell>
        </row>
        <row r="13">
          <cell r="H13" t="str">
            <v>DARYELIS KIL</v>
          </cell>
        </row>
        <row r="14">
          <cell r="H14" t="str">
            <v>YALIANY BELZARES</v>
          </cell>
        </row>
        <row r="15">
          <cell r="H15" t="str">
            <v>YALILE GARCIA</v>
          </cell>
        </row>
        <row r="16">
          <cell r="H16" t="str">
            <v>LUZDIVER ANDRADES</v>
          </cell>
        </row>
        <row r="17">
          <cell r="H17" t="str">
            <v>ORIANA SANCHEZ</v>
          </cell>
        </row>
        <row r="18">
          <cell r="H18" t="str">
            <v>LORENA PEREZ</v>
          </cell>
        </row>
        <row r="19">
          <cell r="H19" t="str">
            <v>MARIANNY MARTINEZ</v>
          </cell>
        </row>
        <row r="20">
          <cell r="H20" t="str">
            <v>MARBELYS PASTRAN</v>
          </cell>
        </row>
        <row r="21">
          <cell r="H21" t="str">
            <v>CESAR PARRA</v>
          </cell>
        </row>
        <row r="22">
          <cell r="H22" t="str">
            <v>CRISTIBEL GIL</v>
          </cell>
        </row>
        <row r="23">
          <cell r="H23" t="str">
            <v>AMBAR VALLADARES</v>
          </cell>
        </row>
        <row r="24">
          <cell r="H24" t="str">
            <v>JAVIER RODRIGUEZ</v>
          </cell>
        </row>
        <row r="25">
          <cell r="H25" t="str">
            <v>DIEGO ROA</v>
          </cell>
        </row>
        <row r="26">
          <cell r="H26" t="str">
            <v>ANA GARCIA</v>
          </cell>
        </row>
        <row r="27">
          <cell r="H27" t="str">
            <v>EUDY ORAMAS</v>
          </cell>
        </row>
        <row r="28">
          <cell r="H28" t="str">
            <v>WILMAR RODRIGUEZ</v>
          </cell>
        </row>
        <row r="29">
          <cell r="H29" t="str">
            <v>JESUS AGÜERO</v>
          </cell>
        </row>
        <row r="30">
          <cell r="H30" t="str">
            <v>DANIEL AGÜERO</v>
          </cell>
        </row>
        <row r="33">
          <cell r="H33" t="str">
            <v>MARCELO DAZA</v>
          </cell>
        </row>
        <row r="34">
          <cell r="H34" t="str">
            <v>MARIA FERNANDA RENDON</v>
          </cell>
        </row>
      </sheetData>
      <sheetData sheetId="21"/>
      <sheetData sheetId="22">
        <row r="4">
          <cell r="H4" t="str">
            <v>JOSE ZARLENGO</v>
          </cell>
        </row>
        <row r="5">
          <cell r="H5" t="str">
            <v>JOSE ZARLENGO</v>
          </cell>
        </row>
        <row r="6">
          <cell r="H6" t="str">
            <v>ALEJANDRA NOGUERA</v>
          </cell>
        </row>
        <row r="7">
          <cell r="H7" t="str">
            <v>GISSELL CARRILLO</v>
          </cell>
        </row>
        <row r="8">
          <cell r="H8" t="str">
            <v>ANNY HUMPHREY</v>
          </cell>
        </row>
        <row r="9">
          <cell r="H9" t="str">
            <v>HANNAH TARFF</v>
          </cell>
        </row>
        <row r="10">
          <cell r="H10" t="str">
            <v>DANIELVI NAVARRO</v>
          </cell>
        </row>
        <row r="11">
          <cell r="H11" t="str">
            <v>RONALD RONDON</v>
          </cell>
        </row>
        <row r="12">
          <cell r="H12" t="str">
            <v>ARIANYIE GIL</v>
          </cell>
        </row>
        <row r="13">
          <cell r="H13" t="str">
            <v>JUAN NUÑEZ</v>
          </cell>
        </row>
        <row r="14">
          <cell r="H14" t="str">
            <v>RUBEN</v>
          </cell>
        </row>
        <row r="15">
          <cell r="H15" t="str">
            <v>RUBEN</v>
          </cell>
        </row>
        <row r="16">
          <cell r="H16" t="str">
            <v>ASTRID URDANETA</v>
          </cell>
        </row>
        <row r="17">
          <cell r="H17" t="str">
            <v>ASTRID URDANETA</v>
          </cell>
        </row>
        <row r="18">
          <cell r="H18" t="str">
            <v>LENNY MENDOZA</v>
          </cell>
        </row>
        <row r="19">
          <cell r="H19" t="str">
            <v>JONNALYS GARCIA</v>
          </cell>
        </row>
        <row r="20">
          <cell r="H20" t="str">
            <v>KAMILA SUAREZ</v>
          </cell>
        </row>
        <row r="21">
          <cell r="H21" t="str">
            <v>JAMIER FIGUEREDO</v>
          </cell>
        </row>
        <row r="22">
          <cell r="H22" t="str">
            <v>KEINER MENDOZA</v>
          </cell>
        </row>
        <row r="23">
          <cell r="H23" t="str">
            <v>JAMINSON FIGUEREDO</v>
          </cell>
        </row>
        <row r="24">
          <cell r="H24" t="str">
            <v>TAHIS DOMINGUEZ</v>
          </cell>
        </row>
        <row r="25">
          <cell r="H25" t="str">
            <v>CLARIBEL CARMONA</v>
          </cell>
        </row>
        <row r="26">
          <cell r="H26" t="str">
            <v>DENEYER MELEAN</v>
          </cell>
        </row>
        <row r="27">
          <cell r="H27" t="str">
            <v>ROSAURA MARQUEZ</v>
          </cell>
        </row>
        <row r="28">
          <cell r="H28" t="str">
            <v>DANIELA CAMACHO</v>
          </cell>
        </row>
        <row r="29">
          <cell r="H29" t="str">
            <v>YEIKER CHACON</v>
          </cell>
        </row>
        <row r="30">
          <cell r="H30" t="str">
            <v>YERALDYN LOPEZ</v>
          </cell>
        </row>
        <row r="31">
          <cell r="H31" t="str">
            <v>VICTORIA TERAN</v>
          </cell>
        </row>
        <row r="32">
          <cell r="H32" t="str">
            <v>ALEJANDRA LEO</v>
          </cell>
        </row>
        <row r="33">
          <cell r="H33" t="str">
            <v>ALEJANDRO LEO</v>
          </cell>
        </row>
        <row r="34">
          <cell r="H34" t="str">
            <v>ANALY VENEGAS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M34"/>
  <sheetViews>
    <sheetView topLeftCell="A13" zoomScale="62" zoomScaleNormal="62" workbookViewId="0">
      <selection activeCell="H20" sqref="H20"/>
    </sheetView>
  </sheetViews>
  <sheetFormatPr baseColWidth="10" defaultRowHeight="15" x14ac:dyDescent="0.25"/>
  <cols>
    <col min="1" max="1" width="57.42578125" customWidth="1"/>
    <col min="8" max="8" width="32" customWidth="1"/>
    <col min="9" max="9" width="15.85546875" customWidth="1"/>
    <col min="10" max="10" width="18" customWidth="1"/>
    <col min="11" max="11" width="47.42578125" customWidth="1"/>
    <col min="12" max="12" width="34.5703125" customWidth="1"/>
    <col min="13" max="13" width="23.140625" customWidth="1"/>
  </cols>
  <sheetData>
    <row r="1" spans="1:13" ht="73.5" customHeight="1" x14ac:dyDescent="0.25">
      <c r="A1" s="1" t="s">
        <v>0</v>
      </c>
      <c r="B1" s="1"/>
      <c r="C1" s="1"/>
      <c r="D1" s="1"/>
      <c r="E1" s="1"/>
      <c r="G1" s="2" t="s">
        <v>1</v>
      </c>
      <c r="H1" s="2"/>
      <c r="I1" s="2"/>
      <c r="J1" s="2"/>
      <c r="K1" s="2"/>
      <c r="L1" s="3" t="s">
        <v>2</v>
      </c>
    </row>
    <row r="2" spans="1:13" ht="15.75" customHeight="1" x14ac:dyDescent="0.4">
      <c r="A2" s="1"/>
      <c r="B2" s="1"/>
      <c r="C2" s="1"/>
      <c r="D2" s="1"/>
      <c r="E2" s="1"/>
      <c r="G2" s="4" t="s">
        <v>3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7" t="s">
        <v>10</v>
      </c>
      <c r="H4" s="8" t="s">
        <v>11</v>
      </c>
      <c r="I4" s="9" t="s">
        <v>12</v>
      </c>
      <c r="J4" s="8" t="s">
        <v>13</v>
      </c>
      <c r="K4" s="10" t="s">
        <v>14</v>
      </c>
      <c r="L4" s="8" t="s">
        <v>15</v>
      </c>
    </row>
    <row r="5" spans="1:13" ht="30" customHeight="1" x14ac:dyDescent="0.25">
      <c r="G5" s="7" t="s">
        <v>16</v>
      </c>
      <c r="H5" s="8" t="s">
        <v>11</v>
      </c>
      <c r="I5" s="9" t="s">
        <v>17</v>
      </c>
      <c r="J5" s="8" t="s">
        <v>17</v>
      </c>
      <c r="K5" s="10" t="s">
        <v>14</v>
      </c>
      <c r="L5" s="8" t="s">
        <v>15</v>
      </c>
    </row>
    <row r="6" spans="1:13" ht="30" customHeight="1" x14ac:dyDescent="0.25">
      <c r="G6" s="7" t="s">
        <v>18</v>
      </c>
      <c r="H6" s="8"/>
      <c r="I6" s="9"/>
      <c r="J6" s="8"/>
      <c r="K6" s="10"/>
      <c r="L6" s="8"/>
    </row>
    <row r="7" spans="1:13" ht="30" customHeight="1" x14ac:dyDescent="0.25">
      <c r="G7" s="7" t="s">
        <v>19</v>
      </c>
      <c r="H7" s="8"/>
      <c r="I7" s="9"/>
      <c r="J7" s="8"/>
      <c r="K7" s="10"/>
      <c r="L7" s="8"/>
    </row>
    <row r="8" spans="1:13" ht="30" customHeight="1" x14ac:dyDescent="0.25">
      <c r="G8" s="7" t="s">
        <v>20</v>
      </c>
      <c r="H8" s="8" t="s">
        <v>21</v>
      </c>
      <c r="I8" s="9" t="s">
        <v>22</v>
      </c>
      <c r="J8" s="8" t="s">
        <v>23</v>
      </c>
      <c r="K8" s="11" t="s">
        <v>24</v>
      </c>
      <c r="L8" s="8" t="s">
        <v>25</v>
      </c>
    </row>
    <row r="9" spans="1:13" ht="30" customHeight="1" x14ac:dyDescent="0.25">
      <c r="G9" s="7" t="s">
        <v>26</v>
      </c>
      <c r="H9" s="8" t="s">
        <v>27</v>
      </c>
      <c r="I9" s="9" t="s">
        <v>28</v>
      </c>
      <c r="J9" s="8" t="s">
        <v>17</v>
      </c>
      <c r="K9" s="12"/>
      <c r="L9" s="8" t="s">
        <v>25</v>
      </c>
      <c r="M9" s="13"/>
    </row>
    <row r="10" spans="1:13" ht="30" customHeight="1" x14ac:dyDescent="0.25">
      <c r="G10" s="7" t="s">
        <v>29</v>
      </c>
      <c r="H10" s="8"/>
      <c r="I10" s="9"/>
      <c r="J10" s="8"/>
      <c r="K10" s="10"/>
      <c r="L10" s="8"/>
      <c r="M10" s="13"/>
    </row>
    <row r="11" spans="1:13" ht="30" customHeight="1" x14ac:dyDescent="0.25">
      <c r="G11" s="7" t="s">
        <v>30</v>
      </c>
      <c r="H11" s="8" t="s">
        <v>31</v>
      </c>
      <c r="I11" s="9" t="s">
        <v>32</v>
      </c>
      <c r="J11" s="8" t="s">
        <v>33</v>
      </c>
      <c r="K11" s="10" t="s">
        <v>34</v>
      </c>
      <c r="L11" s="8" t="s">
        <v>25</v>
      </c>
      <c r="M11" s="13"/>
    </row>
    <row r="12" spans="1:13" ht="30" customHeight="1" x14ac:dyDescent="0.25">
      <c r="G12" s="7" t="s">
        <v>35</v>
      </c>
      <c r="H12" s="8"/>
      <c r="I12" s="9"/>
      <c r="J12" s="8"/>
      <c r="K12" s="10"/>
      <c r="L12" s="8"/>
      <c r="M12" s="13"/>
    </row>
    <row r="13" spans="1:13" ht="30" customHeight="1" x14ac:dyDescent="0.25">
      <c r="G13" s="7" t="s">
        <v>36</v>
      </c>
      <c r="H13" s="8"/>
      <c r="I13" s="9"/>
      <c r="J13" s="8"/>
      <c r="K13" s="10"/>
      <c r="L13" s="8"/>
      <c r="M13" s="13"/>
    </row>
    <row r="14" spans="1:13" ht="30" customHeight="1" x14ac:dyDescent="0.25">
      <c r="G14" s="7" t="s">
        <v>37</v>
      </c>
      <c r="H14" s="8" t="s">
        <v>38</v>
      </c>
      <c r="I14" s="9" t="s">
        <v>39</v>
      </c>
      <c r="J14" s="8" t="s">
        <v>40</v>
      </c>
      <c r="K14" s="10" t="s">
        <v>41</v>
      </c>
      <c r="L14" s="8" t="s">
        <v>15</v>
      </c>
      <c r="M14" s="13"/>
    </row>
    <row r="15" spans="1:13" ht="30" customHeight="1" x14ac:dyDescent="0.25">
      <c r="G15" s="7" t="s">
        <v>42</v>
      </c>
      <c r="H15" s="8" t="s">
        <v>43</v>
      </c>
      <c r="I15" s="9" t="s">
        <v>44</v>
      </c>
      <c r="J15" s="8" t="s">
        <v>45</v>
      </c>
      <c r="K15" s="10" t="s">
        <v>41</v>
      </c>
      <c r="L15" s="8" t="s">
        <v>15</v>
      </c>
      <c r="M15" s="13"/>
    </row>
    <row r="16" spans="1:13" ht="30" customHeight="1" x14ac:dyDescent="0.25">
      <c r="G16" s="7" t="s">
        <v>46</v>
      </c>
      <c r="H16" s="8"/>
      <c r="I16" s="8"/>
      <c r="J16" s="8"/>
      <c r="K16" s="10"/>
      <c r="L16" s="8"/>
      <c r="M16" s="13"/>
    </row>
    <row r="17" spans="7:13" ht="30" customHeight="1" x14ac:dyDescent="0.25">
      <c r="G17" s="7" t="s">
        <v>47</v>
      </c>
      <c r="H17" s="8"/>
      <c r="I17" s="9"/>
      <c r="J17" s="8"/>
      <c r="K17" s="10"/>
      <c r="L17" s="8"/>
      <c r="M17" s="13"/>
    </row>
    <row r="18" spans="7:13" ht="30" customHeight="1" x14ac:dyDescent="0.25">
      <c r="G18" s="7" t="s">
        <v>48</v>
      </c>
      <c r="H18" s="8"/>
      <c r="I18" s="9"/>
      <c r="J18" s="8"/>
      <c r="K18" s="10"/>
      <c r="L18" s="8"/>
      <c r="M18" s="13"/>
    </row>
    <row r="19" spans="7:13" ht="30" customHeight="1" x14ac:dyDescent="0.25">
      <c r="G19" s="7" t="s">
        <v>49</v>
      </c>
      <c r="H19" s="8"/>
      <c r="I19" s="9"/>
      <c r="J19" s="8"/>
      <c r="K19" s="10"/>
      <c r="L19" s="8"/>
      <c r="M19" s="13"/>
    </row>
    <row r="20" spans="7:13" ht="30" customHeight="1" x14ac:dyDescent="0.25">
      <c r="G20" s="7" t="s">
        <v>50</v>
      </c>
      <c r="H20" s="8" t="s">
        <v>51</v>
      </c>
      <c r="I20" s="9" t="s">
        <v>52</v>
      </c>
      <c r="J20" s="8" t="s">
        <v>17</v>
      </c>
      <c r="K20" s="11" t="s">
        <v>53</v>
      </c>
      <c r="L20" s="8" t="s">
        <v>25</v>
      </c>
      <c r="M20" s="13"/>
    </row>
    <row r="21" spans="7:13" ht="30" customHeight="1" x14ac:dyDescent="0.25">
      <c r="G21" s="7" t="s">
        <v>54</v>
      </c>
      <c r="H21" s="8" t="s">
        <v>55</v>
      </c>
      <c r="I21" s="9" t="s">
        <v>56</v>
      </c>
      <c r="J21" s="8" t="s">
        <v>17</v>
      </c>
      <c r="K21" s="12"/>
      <c r="L21" s="8" t="s">
        <v>25</v>
      </c>
      <c r="M21" s="13"/>
    </row>
    <row r="22" spans="7:13" ht="30" customHeight="1" x14ac:dyDescent="0.25">
      <c r="G22" s="7" t="s">
        <v>57</v>
      </c>
      <c r="H22" s="8" t="s">
        <v>58</v>
      </c>
      <c r="I22" s="9" t="s">
        <v>59</v>
      </c>
      <c r="J22" s="8" t="s">
        <v>60</v>
      </c>
      <c r="K22" s="10" t="s">
        <v>34</v>
      </c>
      <c r="L22" s="8" t="s">
        <v>25</v>
      </c>
      <c r="M22" s="13"/>
    </row>
    <row r="23" spans="7:13" ht="30" customHeight="1" x14ac:dyDescent="0.25">
      <c r="G23" s="7" t="s">
        <v>61</v>
      </c>
      <c r="H23" s="8" t="s">
        <v>62</v>
      </c>
      <c r="I23" s="9" t="s">
        <v>17</v>
      </c>
      <c r="J23" s="8" t="s">
        <v>17</v>
      </c>
      <c r="K23" s="10" t="s">
        <v>34</v>
      </c>
      <c r="L23" s="8" t="s">
        <v>25</v>
      </c>
      <c r="M23" s="13"/>
    </row>
    <row r="24" spans="7:13" ht="30" customHeight="1" x14ac:dyDescent="0.25">
      <c r="G24" s="7" t="s">
        <v>63</v>
      </c>
      <c r="H24" s="8"/>
      <c r="I24" s="8"/>
      <c r="J24" s="8"/>
      <c r="K24" s="10"/>
      <c r="L24" s="8"/>
      <c r="M24" s="13"/>
    </row>
    <row r="25" spans="7:13" ht="30" customHeight="1" x14ac:dyDescent="0.25">
      <c r="G25" s="7" t="s">
        <v>64</v>
      </c>
      <c r="H25" s="8"/>
      <c r="I25" s="8"/>
      <c r="J25" s="8"/>
      <c r="K25" s="10"/>
      <c r="L25" s="8"/>
      <c r="M25" s="13"/>
    </row>
    <row r="26" spans="7:13" ht="30" customHeight="1" x14ac:dyDescent="0.25">
      <c r="G26" s="7" t="s">
        <v>65</v>
      </c>
      <c r="H26" s="8" t="s">
        <v>66</v>
      </c>
      <c r="I26" s="9" t="s">
        <v>17</v>
      </c>
      <c r="J26" s="8" t="s">
        <v>17</v>
      </c>
      <c r="K26" s="10" t="s">
        <v>41</v>
      </c>
      <c r="L26" s="8" t="s">
        <v>15</v>
      </c>
    </row>
    <row r="27" spans="7:13" ht="30" customHeight="1" x14ac:dyDescent="0.25">
      <c r="G27" s="7" t="s">
        <v>67</v>
      </c>
      <c r="H27" s="8"/>
      <c r="I27" s="8"/>
      <c r="J27" s="8"/>
      <c r="K27" s="10"/>
      <c r="L27" s="8"/>
    </row>
    <row r="28" spans="7:13" ht="30" customHeight="1" x14ac:dyDescent="0.25">
      <c r="G28" s="7" t="s">
        <v>68</v>
      </c>
      <c r="H28" s="8"/>
      <c r="I28" s="8"/>
      <c r="J28" s="8"/>
      <c r="K28" s="10"/>
      <c r="L28" s="8"/>
    </row>
    <row r="29" spans="7:13" ht="30" customHeight="1" x14ac:dyDescent="0.25">
      <c r="G29" s="7" t="s">
        <v>69</v>
      </c>
      <c r="H29" s="8"/>
      <c r="I29" s="8"/>
      <c r="J29" s="8"/>
      <c r="K29" s="10"/>
      <c r="L29" s="8"/>
    </row>
    <row r="30" spans="7:13" ht="30" customHeight="1" x14ac:dyDescent="0.25">
      <c r="G30" s="7" t="s">
        <v>70</v>
      </c>
      <c r="H30" s="8"/>
      <c r="I30" s="9"/>
      <c r="J30" s="8"/>
      <c r="K30" s="10"/>
      <c r="L30" s="8"/>
    </row>
    <row r="31" spans="7:13" ht="30" customHeight="1" x14ac:dyDescent="0.25">
      <c r="G31" s="7" t="s">
        <v>71</v>
      </c>
      <c r="H31" s="8"/>
      <c r="I31" s="8"/>
      <c r="J31" s="8"/>
      <c r="K31" s="10"/>
      <c r="L31" s="8"/>
    </row>
    <row r="32" spans="7:13" ht="30" customHeight="1" x14ac:dyDescent="0.25">
      <c r="G32" s="7" t="s">
        <v>72</v>
      </c>
      <c r="H32" s="8"/>
      <c r="I32" s="9"/>
      <c r="J32" s="8"/>
      <c r="K32" s="10"/>
      <c r="L32" s="8"/>
    </row>
    <row r="33" spans="7:12" ht="30" customHeight="1" x14ac:dyDescent="0.25">
      <c r="G33" s="7" t="s">
        <v>73</v>
      </c>
      <c r="H33" s="8"/>
      <c r="I33" s="9"/>
      <c r="J33" s="8"/>
      <c r="K33" s="10"/>
      <c r="L33" s="8"/>
    </row>
    <row r="34" spans="7:12" ht="30" customHeight="1" x14ac:dyDescent="0.25">
      <c r="G34" s="7" t="s">
        <v>74</v>
      </c>
      <c r="H34" s="8"/>
      <c r="I34" s="9"/>
      <c r="J34" s="8"/>
      <c r="K34" s="10"/>
      <c r="L34" s="8"/>
    </row>
  </sheetData>
  <mergeCells count="5">
    <mergeCell ref="A1:E4"/>
    <mergeCell ref="G1:K1"/>
    <mergeCell ref="G2:K2"/>
    <mergeCell ref="K8:K9"/>
    <mergeCell ref="K20:K21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J154"/>
  <sheetViews>
    <sheetView topLeftCell="A58" zoomScale="73" zoomScaleNormal="73" workbookViewId="0">
      <selection activeCell="F4" sqref="F4"/>
    </sheetView>
  </sheetViews>
  <sheetFormatPr baseColWidth="10" defaultRowHeight="15" x14ac:dyDescent="0.25"/>
  <cols>
    <col min="2" max="2" width="34" customWidth="1"/>
    <col min="3" max="3" width="16.140625" customWidth="1"/>
    <col min="4" max="4" width="15.42578125" customWidth="1"/>
    <col min="5" max="5" width="17.85546875" customWidth="1"/>
    <col min="6" max="6" width="23.28515625" customWidth="1"/>
    <col min="7" max="7" width="23" customWidth="1"/>
  </cols>
  <sheetData>
    <row r="1" spans="1:8" ht="38.25" customHeight="1" x14ac:dyDescent="0.3">
      <c r="A1" s="14" t="s">
        <v>75</v>
      </c>
      <c r="B1" s="14"/>
      <c r="C1" s="14"/>
      <c r="D1" s="14"/>
      <c r="E1" s="14"/>
      <c r="F1" s="14"/>
    </row>
    <row r="3" spans="1:8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9</v>
      </c>
      <c r="G3" s="17"/>
      <c r="H3" s="17"/>
    </row>
    <row r="4" spans="1:8" ht="20.100000000000001" customHeight="1" x14ac:dyDescent="0.25">
      <c r="A4" s="8" t="s">
        <v>10</v>
      </c>
      <c r="B4" s="18" t="str">
        <f>'[1]CAYO MUERTO (01-08)'!H4</f>
        <v>CARLOS LAMAS</v>
      </c>
      <c r="C4" s="19">
        <v>23</v>
      </c>
      <c r="D4" s="19">
        <v>23</v>
      </c>
      <c r="E4" s="20">
        <f t="shared" ref="E4:E34" si="0">C4-D4</f>
        <v>0</v>
      </c>
      <c r="F4" s="21"/>
    </row>
    <row r="5" spans="1:8" ht="20.100000000000001" customHeight="1" x14ac:dyDescent="0.25">
      <c r="A5" s="8" t="s">
        <v>16</v>
      </c>
      <c r="B5" s="18" t="str">
        <f>'[1]CAYO MUERTO (01-08)'!H5</f>
        <v>CARLOS LAMAS</v>
      </c>
      <c r="C5" s="19">
        <v>23</v>
      </c>
      <c r="D5" s="19">
        <v>23</v>
      </c>
      <c r="E5" s="20">
        <f t="shared" si="0"/>
        <v>0</v>
      </c>
      <c r="F5" s="21"/>
    </row>
    <row r="6" spans="1:8" ht="20.100000000000001" customHeight="1" x14ac:dyDescent="0.25">
      <c r="A6" s="8" t="s">
        <v>18</v>
      </c>
      <c r="B6" s="18">
        <f>'[1]CAYO MUERTO (01-08)'!H6</f>
        <v>0</v>
      </c>
      <c r="C6" s="19"/>
      <c r="D6" s="19"/>
      <c r="E6" s="20">
        <f t="shared" si="0"/>
        <v>0</v>
      </c>
      <c r="F6" s="21"/>
    </row>
    <row r="7" spans="1:8" ht="20.100000000000001" customHeight="1" x14ac:dyDescent="0.25">
      <c r="A7" s="8" t="s">
        <v>19</v>
      </c>
      <c r="B7" s="18">
        <f>'[1]CAYO MUERTO (01-08)'!H7</f>
        <v>0</v>
      </c>
      <c r="C7" s="19"/>
      <c r="D7" s="19"/>
      <c r="E7" s="20">
        <f t="shared" si="0"/>
        <v>0</v>
      </c>
      <c r="F7" s="21"/>
    </row>
    <row r="8" spans="1:8" ht="20.100000000000001" customHeight="1" x14ac:dyDescent="0.25">
      <c r="A8" s="8" t="s">
        <v>20</v>
      </c>
      <c r="B8" s="18" t="str">
        <f>'[1]CAYO MUERTO (01-08)'!H8</f>
        <v>MARISOL ROA</v>
      </c>
      <c r="C8" s="19">
        <v>23</v>
      </c>
      <c r="D8" s="19">
        <v>23</v>
      </c>
      <c r="E8" s="20">
        <f t="shared" si="0"/>
        <v>0</v>
      </c>
      <c r="F8" s="21"/>
    </row>
    <row r="9" spans="1:8" ht="20.100000000000001" customHeight="1" x14ac:dyDescent="0.25">
      <c r="A9" s="8" t="s">
        <v>26</v>
      </c>
      <c r="B9" s="18" t="str">
        <f>'[1]CAYO MUERTO (01-08)'!H9</f>
        <v>DANNY PERAZA</v>
      </c>
      <c r="C9" s="19">
        <v>23</v>
      </c>
      <c r="D9" s="19">
        <v>23</v>
      </c>
      <c r="E9" s="20">
        <f t="shared" si="0"/>
        <v>0</v>
      </c>
      <c r="F9" s="21"/>
    </row>
    <row r="10" spans="1:8" ht="20.100000000000001" customHeight="1" x14ac:dyDescent="0.25">
      <c r="A10" s="8" t="s">
        <v>29</v>
      </c>
      <c r="B10" s="18">
        <f>'[1]CAYO MUERTO (01-08)'!H10</f>
        <v>0</v>
      </c>
      <c r="C10" s="19"/>
      <c r="D10" s="19"/>
      <c r="E10" s="20">
        <f t="shared" si="0"/>
        <v>0</v>
      </c>
      <c r="F10" s="21"/>
    </row>
    <row r="11" spans="1:8" ht="20.100000000000001" customHeight="1" x14ac:dyDescent="0.25">
      <c r="A11" s="8" t="s">
        <v>30</v>
      </c>
      <c r="B11" s="18" t="str">
        <f>'[1]CAYO MUERTO (01-08)'!H11</f>
        <v>HECTOR ORTEGA</v>
      </c>
      <c r="C11" s="19">
        <v>23</v>
      </c>
      <c r="D11" s="19">
        <v>23</v>
      </c>
      <c r="E11" s="20">
        <f t="shared" si="0"/>
        <v>0</v>
      </c>
      <c r="F11" s="21"/>
    </row>
    <row r="12" spans="1:8" ht="20.100000000000001" customHeight="1" x14ac:dyDescent="0.25">
      <c r="A12" s="8" t="s">
        <v>35</v>
      </c>
      <c r="B12" s="18">
        <f>'[1]CAYO MUERTO (01-08)'!H12</f>
        <v>0</v>
      </c>
      <c r="C12" s="19"/>
      <c r="D12" s="19"/>
      <c r="E12" s="20">
        <f t="shared" si="0"/>
        <v>0</v>
      </c>
      <c r="F12" s="21"/>
    </row>
    <row r="13" spans="1:8" ht="20.100000000000001" customHeight="1" x14ac:dyDescent="0.25">
      <c r="A13" s="8" t="s">
        <v>36</v>
      </c>
      <c r="B13" s="18">
        <f>'[1]CAYO MUERTO (01-08)'!H13</f>
        <v>0</v>
      </c>
      <c r="C13" s="19"/>
      <c r="D13" s="19"/>
      <c r="E13" s="20">
        <f t="shared" si="0"/>
        <v>0</v>
      </c>
      <c r="F13" s="21"/>
    </row>
    <row r="14" spans="1:8" ht="20.100000000000001" customHeight="1" x14ac:dyDescent="0.25">
      <c r="A14" s="8" t="s">
        <v>37</v>
      </c>
      <c r="B14" s="18" t="str">
        <f>'[1]CAYO MUERTO (01-08)'!H14</f>
        <v>ODALIS LINARES</v>
      </c>
      <c r="C14" s="19">
        <v>23</v>
      </c>
      <c r="D14" s="19">
        <v>23</v>
      </c>
      <c r="E14" s="20">
        <f t="shared" si="0"/>
        <v>0</v>
      </c>
      <c r="F14" s="21"/>
    </row>
    <row r="15" spans="1:8" ht="20.100000000000001" customHeight="1" x14ac:dyDescent="0.25">
      <c r="A15" s="8" t="s">
        <v>42</v>
      </c>
      <c r="B15" s="18" t="str">
        <f>'[1]CAYO MUERTO (01-08)'!H15</f>
        <v>VALERY PEREZ</v>
      </c>
      <c r="C15" s="19">
        <v>23</v>
      </c>
      <c r="D15" s="19">
        <v>23</v>
      </c>
      <c r="E15" s="20">
        <f t="shared" si="0"/>
        <v>0</v>
      </c>
      <c r="F15" s="21"/>
    </row>
    <row r="16" spans="1:8" ht="20.100000000000001" customHeight="1" x14ac:dyDescent="0.25">
      <c r="A16" s="8" t="s">
        <v>46</v>
      </c>
      <c r="B16" s="18">
        <f>'[1]CAYO MUERTO (01-08)'!H16</f>
        <v>0</v>
      </c>
      <c r="C16" s="19"/>
      <c r="D16" s="19"/>
      <c r="E16" s="20">
        <f t="shared" si="0"/>
        <v>0</v>
      </c>
      <c r="F16" s="21"/>
    </row>
    <row r="17" spans="1:6" ht="20.100000000000001" customHeight="1" x14ac:dyDescent="0.25">
      <c r="A17" s="8" t="s">
        <v>47</v>
      </c>
      <c r="B17" s="18">
        <f>'[1]CAYO MUERTO (01-08)'!H17</f>
        <v>0</v>
      </c>
      <c r="C17" s="19"/>
      <c r="D17" s="19"/>
      <c r="E17" s="20">
        <f t="shared" si="0"/>
        <v>0</v>
      </c>
      <c r="F17" s="21"/>
    </row>
    <row r="18" spans="1:6" ht="20.100000000000001" customHeight="1" x14ac:dyDescent="0.25">
      <c r="A18" s="8" t="s">
        <v>48</v>
      </c>
      <c r="B18" s="18">
        <f>'[1]CAYO MUERTO (01-08)'!H18</f>
        <v>0</v>
      </c>
      <c r="C18" s="19"/>
      <c r="D18" s="19"/>
      <c r="E18" s="20">
        <f t="shared" si="0"/>
        <v>0</v>
      </c>
      <c r="F18" s="21"/>
    </row>
    <row r="19" spans="1:6" ht="20.100000000000001" customHeight="1" x14ac:dyDescent="0.25">
      <c r="A19" s="8" t="s">
        <v>49</v>
      </c>
      <c r="B19" s="18">
        <f>'[1]CAYO MUERTO (01-08)'!H19</f>
        <v>0</v>
      </c>
      <c r="C19" s="19"/>
      <c r="D19" s="19"/>
      <c r="E19" s="20">
        <f t="shared" si="0"/>
        <v>0</v>
      </c>
      <c r="F19" s="21"/>
    </row>
    <row r="20" spans="1:6" ht="20.100000000000001" customHeight="1" x14ac:dyDescent="0.25">
      <c r="A20" s="8" t="s">
        <v>50</v>
      </c>
      <c r="B20" s="18" t="str">
        <f>'[1]CAYO MUERTO (01-08)'!H20</f>
        <v>ALEXANDRA PERAZA</v>
      </c>
      <c r="C20" s="19">
        <v>23</v>
      </c>
      <c r="D20" s="19">
        <v>23</v>
      </c>
      <c r="E20" s="20">
        <f t="shared" si="0"/>
        <v>0</v>
      </c>
      <c r="F20" s="21"/>
    </row>
    <row r="21" spans="1:6" ht="20.100000000000001" customHeight="1" x14ac:dyDescent="0.25">
      <c r="A21" s="8" t="s">
        <v>54</v>
      </c>
      <c r="B21" s="18" t="str">
        <f>'[1]CAYO MUERTO (01-08)'!H21</f>
        <v>DANIEL PERAZA</v>
      </c>
      <c r="C21" s="19">
        <v>23</v>
      </c>
      <c r="D21" s="19">
        <v>23</v>
      </c>
      <c r="E21" s="20">
        <f t="shared" si="0"/>
        <v>0</v>
      </c>
      <c r="F21" s="21"/>
    </row>
    <row r="22" spans="1:6" ht="20.100000000000001" customHeight="1" x14ac:dyDescent="0.25">
      <c r="A22" s="8" t="s">
        <v>57</v>
      </c>
      <c r="B22" s="18" t="str">
        <f>'[1]CAYO MUERTO (01-08)'!H22</f>
        <v>KISBELIS TORRES</v>
      </c>
      <c r="C22" s="19">
        <v>23</v>
      </c>
      <c r="D22" s="19">
        <v>23</v>
      </c>
      <c r="E22" s="20">
        <f t="shared" si="0"/>
        <v>0</v>
      </c>
      <c r="F22" s="21"/>
    </row>
    <row r="23" spans="1:6" ht="20.100000000000001" customHeight="1" x14ac:dyDescent="0.25">
      <c r="A23" s="8" t="s">
        <v>61</v>
      </c>
      <c r="B23" s="18" t="str">
        <f>'[1]CAYO MUERTO (01-08)'!H23</f>
        <v>LUCIANA ORTEGA</v>
      </c>
      <c r="C23" s="19">
        <v>23</v>
      </c>
      <c r="D23" s="19">
        <v>23</v>
      </c>
      <c r="E23" s="20">
        <f t="shared" si="0"/>
        <v>0</v>
      </c>
      <c r="F23" s="21"/>
    </row>
    <row r="24" spans="1:6" ht="20.100000000000001" customHeight="1" x14ac:dyDescent="0.25">
      <c r="A24" s="8" t="s">
        <v>63</v>
      </c>
      <c r="B24" s="18">
        <f>'[1]CAYO MUERTO (01-08)'!H24</f>
        <v>0</v>
      </c>
      <c r="C24" s="19"/>
      <c r="D24" s="19"/>
      <c r="E24" s="20">
        <f t="shared" si="0"/>
        <v>0</v>
      </c>
      <c r="F24" s="21"/>
    </row>
    <row r="25" spans="1:6" ht="20.100000000000001" customHeight="1" x14ac:dyDescent="0.25">
      <c r="A25" s="8" t="s">
        <v>64</v>
      </c>
      <c r="B25" s="18">
        <f>'[1]CAYO MUERTO (01-08)'!H25</f>
        <v>0</v>
      </c>
      <c r="C25" s="19"/>
      <c r="D25" s="19"/>
      <c r="E25" s="20">
        <f t="shared" si="0"/>
        <v>0</v>
      </c>
      <c r="F25" s="21"/>
    </row>
    <row r="26" spans="1:6" ht="20.100000000000001" customHeight="1" x14ac:dyDescent="0.25">
      <c r="A26" s="8" t="s">
        <v>65</v>
      </c>
      <c r="B26" s="18" t="str">
        <f>'[1]CAYO MUERTO (01-08)'!H26</f>
        <v>ALAN &amp; DILAN PEREZ</v>
      </c>
      <c r="C26" s="19">
        <v>23</v>
      </c>
      <c r="D26" s="19">
        <v>23</v>
      </c>
      <c r="E26" s="20">
        <f t="shared" si="0"/>
        <v>0</v>
      </c>
      <c r="F26" s="21"/>
    </row>
    <row r="27" spans="1:6" ht="20.100000000000001" customHeight="1" x14ac:dyDescent="0.25">
      <c r="A27" s="8" t="s">
        <v>67</v>
      </c>
      <c r="B27" s="18">
        <f>'[1]CAYO MUERTO (01-08)'!H27</f>
        <v>0</v>
      </c>
      <c r="C27" s="19"/>
      <c r="D27" s="19"/>
      <c r="E27" s="20">
        <f t="shared" si="0"/>
        <v>0</v>
      </c>
      <c r="F27" s="21"/>
    </row>
    <row r="28" spans="1:6" ht="20.100000000000001" customHeight="1" x14ac:dyDescent="0.25">
      <c r="A28" s="8" t="s">
        <v>68</v>
      </c>
      <c r="B28" s="18">
        <f>'[1]CAYO MUERTO (01-08)'!H28</f>
        <v>0</v>
      </c>
      <c r="C28" s="19"/>
      <c r="D28" s="19"/>
      <c r="E28" s="20">
        <f t="shared" si="0"/>
        <v>0</v>
      </c>
      <c r="F28" s="21"/>
    </row>
    <row r="29" spans="1:6" ht="20.100000000000001" customHeight="1" x14ac:dyDescent="0.25">
      <c r="A29" s="8" t="s">
        <v>69</v>
      </c>
      <c r="B29" s="18">
        <f>'[1]CAYO MUERTO (01-08)'!H29</f>
        <v>0</v>
      </c>
      <c r="C29" s="19"/>
      <c r="D29" s="19"/>
      <c r="E29" s="20">
        <f t="shared" si="0"/>
        <v>0</v>
      </c>
      <c r="F29" s="21"/>
    </row>
    <row r="30" spans="1:6" ht="20.100000000000001" customHeight="1" x14ac:dyDescent="0.25">
      <c r="A30" s="8" t="s">
        <v>70</v>
      </c>
      <c r="B30" s="18">
        <f>'[1]CAYO MUERTO (01-08)'!H30</f>
        <v>0</v>
      </c>
      <c r="C30" s="19"/>
      <c r="D30" s="19"/>
      <c r="E30" s="20">
        <f t="shared" si="0"/>
        <v>0</v>
      </c>
      <c r="F30" s="21"/>
    </row>
    <row r="31" spans="1:6" ht="20.100000000000001" customHeight="1" x14ac:dyDescent="0.25">
      <c r="A31" s="8" t="s">
        <v>71</v>
      </c>
      <c r="B31" s="18">
        <f>'[1]CAYO MUERTO (01-08)'!H31</f>
        <v>0</v>
      </c>
      <c r="C31" s="19"/>
      <c r="D31" s="19"/>
      <c r="E31" s="20">
        <f t="shared" si="0"/>
        <v>0</v>
      </c>
      <c r="F31" s="21"/>
    </row>
    <row r="32" spans="1:6" ht="20.100000000000001" customHeight="1" x14ac:dyDescent="0.25">
      <c r="A32" s="8" t="s">
        <v>72</v>
      </c>
      <c r="B32" s="18">
        <f>'[1]CAYO MUERTO (01-08)'!H32</f>
        <v>0</v>
      </c>
      <c r="C32" s="19"/>
      <c r="D32" s="19"/>
      <c r="E32" s="20">
        <f t="shared" si="0"/>
        <v>0</v>
      </c>
      <c r="F32" s="21"/>
    </row>
    <row r="33" spans="1:7" ht="20.100000000000001" customHeight="1" x14ac:dyDescent="0.25">
      <c r="A33" s="8" t="s">
        <v>73</v>
      </c>
      <c r="B33" s="18">
        <f>'[1]CAYO MUERTO (01-08)'!H33</f>
        <v>0</v>
      </c>
      <c r="C33" s="19"/>
      <c r="D33" s="19"/>
      <c r="E33" s="20">
        <f t="shared" si="0"/>
        <v>0</v>
      </c>
      <c r="F33" s="21"/>
    </row>
    <row r="34" spans="1:7" ht="20.100000000000001" customHeight="1" x14ac:dyDescent="0.25">
      <c r="A34" s="8" t="s">
        <v>74</v>
      </c>
      <c r="B34" s="18">
        <f>'[1]CAYO MUERTO (01-08)'!H34</f>
        <v>0</v>
      </c>
      <c r="C34" s="19"/>
      <c r="D34" s="19"/>
      <c r="E34" s="20">
        <f t="shared" si="0"/>
        <v>0</v>
      </c>
      <c r="F34" s="21"/>
    </row>
    <row r="35" spans="1:7" ht="20.100000000000001" customHeight="1" x14ac:dyDescent="0.25"/>
    <row r="36" spans="1:7" ht="20.100000000000001" customHeight="1" x14ac:dyDescent="0.25">
      <c r="B36" s="15" t="s">
        <v>79</v>
      </c>
      <c r="C36" s="22">
        <f>SUM(C4:C34)</f>
        <v>276</v>
      </c>
      <c r="D36" s="22">
        <f>SUM(D4:D34)</f>
        <v>276</v>
      </c>
      <c r="E36" s="22">
        <f>SUM(E4:E34)</f>
        <v>0</v>
      </c>
      <c r="F36" s="22">
        <f>SUM(F4:F34)</f>
        <v>0</v>
      </c>
    </row>
    <row r="48" spans="1:7" ht="29.25" customHeight="1" x14ac:dyDescent="0.45">
      <c r="A48" s="23" t="s">
        <v>80</v>
      </c>
      <c r="B48" s="23"/>
      <c r="C48" s="23"/>
      <c r="D48" s="23"/>
      <c r="E48" s="23"/>
      <c r="F48" s="23"/>
      <c r="G48" s="23"/>
    </row>
    <row r="49" spans="1:10" ht="30" customHeight="1" x14ac:dyDescent="0.25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24" t="s">
        <v>85</v>
      </c>
    </row>
    <row r="50" spans="1:10" ht="20.100000000000001" customHeight="1" x14ac:dyDescent="0.25">
      <c r="A50" s="25" t="s">
        <v>20</v>
      </c>
      <c r="B50" s="26" t="s">
        <v>86</v>
      </c>
      <c r="C50" s="27">
        <v>38858.68</v>
      </c>
      <c r="D50" s="26">
        <v>844.75</v>
      </c>
      <c r="E50" s="26">
        <v>46</v>
      </c>
      <c r="F50" s="26" t="s">
        <v>87</v>
      </c>
      <c r="G50" s="28">
        <v>46231</v>
      </c>
      <c r="H50" s="29"/>
      <c r="I50" s="30"/>
      <c r="J50" s="30"/>
    </row>
    <row r="51" spans="1:10" ht="20.100000000000001" customHeight="1" x14ac:dyDescent="0.25">
      <c r="A51" s="25" t="s">
        <v>26</v>
      </c>
      <c r="B51" s="26" t="s">
        <v>86</v>
      </c>
      <c r="C51" s="27">
        <v>39513.199999999997</v>
      </c>
      <c r="D51" s="26">
        <v>858.98</v>
      </c>
      <c r="E51" s="26">
        <v>46</v>
      </c>
      <c r="F51" s="26" t="s">
        <v>88</v>
      </c>
      <c r="G51" s="28">
        <v>46234</v>
      </c>
      <c r="H51" s="29"/>
      <c r="I51" s="30"/>
      <c r="J51" s="30"/>
    </row>
    <row r="52" spans="1:10" ht="20.100000000000001" customHeight="1" x14ac:dyDescent="0.25">
      <c r="A52" s="25" t="s">
        <v>50</v>
      </c>
      <c r="B52" s="26" t="s">
        <v>86</v>
      </c>
      <c r="C52" s="27"/>
      <c r="D52" s="26"/>
      <c r="E52" s="26"/>
      <c r="F52" s="26"/>
      <c r="G52" s="31"/>
      <c r="H52" s="32"/>
      <c r="I52" s="32"/>
      <c r="J52" s="32"/>
    </row>
    <row r="53" spans="1:10" ht="20.100000000000001" customHeight="1" x14ac:dyDescent="0.25">
      <c r="A53" s="25" t="s">
        <v>54</v>
      </c>
      <c r="B53" s="26" t="s">
        <v>86</v>
      </c>
      <c r="C53" s="27"/>
      <c r="D53" s="26"/>
      <c r="E53" s="26"/>
      <c r="F53" s="26"/>
      <c r="G53" s="31"/>
      <c r="H53" s="32"/>
      <c r="I53" s="32"/>
      <c r="J53" s="32"/>
    </row>
    <row r="54" spans="1:10" ht="20.100000000000001" customHeight="1" x14ac:dyDescent="0.25">
      <c r="H54" s="30"/>
      <c r="I54" s="30"/>
      <c r="J54" s="30"/>
    </row>
    <row r="55" spans="1:10" ht="20.100000000000001" customHeight="1" x14ac:dyDescent="0.25">
      <c r="H55" s="30"/>
      <c r="I55" s="30"/>
      <c r="J55" s="30"/>
    </row>
    <row r="56" spans="1:10" ht="20.100000000000001" customHeight="1" x14ac:dyDescent="0.25">
      <c r="H56" s="32"/>
      <c r="I56" s="32"/>
      <c r="J56" s="32"/>
    </row>
    <row r="57" spans="1:10" ht="20.100000000000001" customHeight="1" x14ac:dyDescent="0.25">
      <c r="A57" s="25" t="s">
        <v>30</v>
      </c>
      <c r="B57" s="26" t="s">
        <v>89</v>
      </c>
      <c r="C57" s="27">
        <v>59270</v>
      </c>
      <c r="D57" s="26">
        <v>858.98</v>
      </c>
      <c r="E57" s="26">
        <v>69</v>
      </c>
      <c r="F57" s="26" t="s">
        <v>90</v>
      </c>
      <c r="G57" s="28">
        <v>46234</v>
      </c>
      <c r="H57" s="32"/>
      <c r="I57" s="32"/>
      <c r="J57" s="32"/>
    </row>
    <row r="58" spans="1:10" ht="20.100000000000001" customHeight="1" x14ac:dyDescent="0.25">
      <c r="A58" s="25" t="s">
        <v>57</v>
      </c>
      <c r="B58" s="26" t="s">
        <v>89</v>
      </c>
      <c r="C58" s="27"/>
      <c r="D58" s="26"/>
      <c r="E58" s="26"/>
      <c r="F58" s="26"/>
      <c r="G58" s="28"/>
      <c r="H58" s="32"/>
      <c r="I58" s="32"/>
      <c r="J58" s="32"/>
    </row>
    <row r="59" spans="1:10" ht="20.100000000000001" customHeight="1" x14ac:dyDescent="0.25">
      <c r="A59" s="25" t="s">
        <v>61</v>
      </c>
      <c r="B59" s="26" t="s">
        <v>89</v>
      </c>
      <c r="C59" s="27"/>
      <c r="D59" s="26"/>
      <c r="E59" s="26"/>
      <c r="F59" s="26"/>
      <c r="G59" s="28"/>
      <c r="H59" s="30"/>
      <c r="I59" s="30"/>
      <c r="J59" s="30"/>
    </row>
    <row r="60" spans="1:10" ht="20.100000000000001" customHeight="1" x14ac:dyDescent="0.25">
      <c r="H60" s="30"/>
      <c r="I60" s="30"/>
      <c r="J60" s="30"/>
    </row>
    <row r="61" spans="1:10" ht="20.100000000000001" customHeight="1" x14ac:dyDescent="0.25">
      <c r="H61" s="30"/>
      <c r="I61" s="30"/>
      <c r="J61" s="30"/>
    </row>
    <row r="62" spans="1:10" ht="20.100000000000001" customHeight="1" x14ac:dyDescent="0.25">
      <c r="H62" s="32"/>
      <c r="I62" s="32"/>
      <c r="J62" s="32"/>
    </row>
    <row r="63" spans="1:10" ht="20.100000000000001" customHeight="1" x14ac:dyDescent="0.25">
      <c r="A63" s="25" t="s">
        <v>37</v>
      </c>
      <c r="B63" s="26" t="s">
        <v>91</v>
      </c>
      <c r="C63" s="27">
        <v>59269.8</v>
      </c>
      <c r="D63" s="26">
        <v>858.98</v>
      </c>
      <c r="E63" s="26">
        <v>69</v>
      </c>
      <c r="F63" s="26" t="s">
        <v>92</v>
      </c>
      <c r="G63" s="28">
        <v>46234</v>
      </c>
      <c r="H63" s="32"/>
      <c r="I63" s="32"/>
      <c r="J63" s="32"/>
    </row>
    <row r="64" spans="1:10" ht="20.100000000000001" customHeight="1" x14ac:dyDescent="0.25">
      <c r="A64" s="25" t="s">
        <v>42</v>
      </c>
      <c r="B64" s="26" t="s">
        <v>91</v>
      </c>
      <c r="C64" s="27"/>
      <c r="D64" s="26"/>
      <c r="E64" s="26"/>
      <c r="F64" s="26"/>
      <c r="G64" s="31"/>
      <c r="H64" s="32"/>
      <c r="I64" s="30"/>
      <c r="J64" s="30"/>
    </row>
    <row r="65" spans="1:10" ht="20.100000000000001" customHeight="1" x14ac:dyDescent="0.25">
      <c r="A65" s="25" t="s">
        <v>65</v>
      </c>
      <c r="B65" s="26" t="s">
        <v>91</v>
      </c>
      <c r="C65" s="27"/>
      <c r="D65" s="26"/>
      <c r="E65" s="26"/>
      <c r="F65" s="26"/>
      <c r="G65" s="31"/>
      <c r="H65" s="32"/>
      <c r="I65" s="30"/>
      <c r="J65" s="30"/>
    </row>
    <row r="66" spans="1:10" ht="20.100000000000001" customHeight="1" x14ac:dyDescent="0.25">
      <c r="H66" s="32"/>
      <c r="I66" s="30"/>
      <c r="J66" s="30"/>
    </row>
    <row r="67" spans="1:10" ht="20.100000000000001" customHeight="1" x14ac:dyDescent="0.25">
      <c r="H67" s="32"/>
      <c r="I67" s="30"/>
      <c r="J67" s="30"/>
    </row>
    <row r="68" spans="1:10" ht="20.100000000000001" customHeight="1" x14ac:dyDescent="0.25">
      <c r="H68" s="32"/>
    </row>
    <row r="69" spans="1:10" ht="20.100000000000001" customHeight="1" x14ac:dyDescent="0.25">
      <c r="A69" s="25" t="s">
        <v>10</v>
      </c>
      <c r="B69" s="26" t="s">
        <v>11</v>
      </c>
      <c r="C69" s="27">
        <v>39513.199999999997</v>
      </c>
      <c r="D69" s="26">
        <v>858.98</v>
      </c>
      <c r="E69" s="26">
        <v>46</v>
      </c>
      <c r="F69" s="26" t="s">
        <v>93</v>
      </c>
      <c r="G69" s="31">
        <v>46234</v>
      </c>
      <c r="H69" s="32"/>
    </row>
    <row r="70" spans="1:10" ht="20.100000000000001" customHeight="1" x14ac:dyDescent="0.25">
      <c r="A70" s="25" t="s">
        <v>16</v>
      </c>
      <c r="B70" s="26" t="s">
        <v>11</v>
      </c>
      <c r="C70" s="27"/>
      <c r="D70" s="26"/>
      <c r="E70" s="26"/>
      <c r="F70" s="26"/>
      <c r="G70" s="31"/>
      <c r="H70" s="32"/>
    </row>
    <row r="71" spans="1:10" ht="20.100000000000001" customHeight="1" x14ac:dyDescent="0.25">
      <c r="H71" s="32"/>
    </row>
    <row r="72" spans="1:10" ht="20.100000000000001" customHeight="1" x14ac:dyDescent="0.25">
      <c r="H72" s="32"/>
    </row>
    <row r="73" spans="1:10" ht="20.100000000000001" customHeight="1" x14ac:dyDescent="0.25">
      <c r="H73" s="32"/>
    </row>
    <row r="74" spans="1:10" ht="20.100000000000001" customHeight="1" x14ac:dyDescent="0.25">
      <c r="A74" s="25" t="s">
        <v>18</v>
      </c>
      <c r="B74" s="26" t="s">
        <v>94</v>
      </c>
      <c r="C74" s="27"/>
      <c r="D74" s="26"/>
      <c r="E74" s="26"/>
      <c r="F74" s="26"/>
      <c r="G74" s="31"/>
    </row>
    <row r="75" spans="1:10" ht="20.100000000000001" customHeight="1" x14ac:dyDescent="0.25">
      <c r="A75" s="25" t="s">
        <v>19</v>
      </c>
      <c r="B75" s="26" t="s">
        <v>94</v>
      </c>
      <c r="C75" s="27"/>
      <c r="D75" s="26"/>
      <c r="E75" s="26"/>
      <c r="F75" s="26"/>
      <c r="G75" s="28"/>
    </row>
    <row r="76" spans="1:10" ht="20.100000000000001" customHeight="1" x14ac:dyDescent="0.25">
      <c r="A76" s="25" t="s">
        <v>29</v>
      </c>
      <c r="B76" s="26" t="s">
        <v>94</v>
      </c>
      <c r="C76" s="27"/>
      <c r="D76" s="26"/>
      <c r="E76" s="26"/>
      <c r="F76" s="26"/>
      <c r="G76" s="31"/>
    </row>
    <row r="77" spans="1:10" ht="20.100000000000001" customHeight="1" x14ac:dyDescent="0.25">
      <c r="A77" s="25" t="s">
        <v>35</v>
      </c>
      <c r="B77" s="26" t="s">
        <v>94</v>
      </c>
      <c r="C77" s="27"/>
      <c r="D77" s="26"/>
      <c r="E77" s="26"/>
      <c r="F77" s="26"/>
      <c r="G77" s="28"/>
    </row>
    <row r="78" spans="1:10" ht="20.100000000000001" customHeight="1" x14ac:dyDescent="0.25">
      <c r="A78" s="25" t="s">
        <v>36</v>
      </c>
      <c r="B78" s="26" t="s">
        <v>94</v>
      </c>
      <c r="C78" s="27"/>
      <c r="D78" s="26"/>
      <c r="E78" s="26"/>
      <c r="F78" s="26"/>
      <c r="G78" s="28"/>
    </row>
    <row r="79" spans="1:10" ht="20.100000000000001" customHeight="1" x14ac:dyDescent="0.25">
      <c r="A79" s="25" t="s">
        <v>46</v>
      </c>
      <c r="B79" s="26" t="s">
        <v>94</v>
      </c>
      <c r="C79" s="27"/>
      <c r="D79" s="26"/>
      <c r="E79" s="26"/>
      <c r="F79" s="26"/>
      <c r="G79" s="31"/>
    </row>
    <row r="80" spans="1:10" ht="20.100000000000001" customHeight="1" x14ac:dyDescent="0.25">
      <c r="A80" s="25" t="s">
        <v>47</v>
      </c>
      <c r="B80" s="26" t="s">
        <v>94</v>
      </c>
      <c r="C80" s="27"/>
      <c r="D80" s="26"/>
      <c r="E80" s="26"/>
      <c r="F80" s="26"/>
      <c r="G80" s="28"/>
    </row>
    <row r="81" spans="1:7" ht="20.100000000000001" customHeight="1" x14ac:dyDescent="0.25">
      <c r="A81" s="25" t="s">
        <v>48</v>
      </c>
      <c r="B81" s="26" t="s">
        <v>94</v>
      </c>
      <c r="C81" s="27"/>
      <c r="D81" s="26"/>
      <c r="E81" s="26"/>
      <c r="F81" s="26"/>
      <c r="G81" s="28"/>
    </row>
    <row r="82" spans="1:7" ht="20.100000000000001" customHeight="1" x14ac:dyDescent="0.25">
      <c r="A82" s="25" t="s">
        <v>49</v>
      </c>
      <c r="B82" s="26" t="s">
        <v>94</v>
      </c>
      <c r="C82" s="27"/>
      <c r="D82" s="26"/>
      <c r="E82" s="26"/>
      <c r="F82" s="26"/>
      <c r="G82" s="31"/>
    </row>
    <row r="83" spans="1:7" ht="20.100000000000001" customHeight="1" x14ac:dyDescent="0.25">
      <c r="A83" s="25" t="s">
        <v>63</v>
      </c>
      <c r="B83" s="26" t="s">
        <v>94</v>
      </c>
      <c r="C83" s="27"/>
      <c r="D83" s="26"/>
      <c r="E83" s="26"/>
      <c r="F83" s="26"/>
      <c r="G83" s="31"/>
    </row>
    <row r="84" spans="1:7" ht="20.100000000000001" customHeight="1" x14ac:dyDescent="0.25">
      <c r="A84" s="25" t="s">
        <v>64</v>
      </c>
      <c r="B84" s="26" t="s">
        <v>94</v>
      </c>
      <c r="C84" s="27"/>
      <c r="D84" s="26"/>
      <c r="E84" s="26"/>
      <c r="F84" s="26"/>
      <c r="G84" s="31"/>
    </row>
    <row r="85" spans="1:7" ht="20.100000000000001" customHeight="1" x14ac:dyDescent="0.25">
      <c r="A85" s="25" t="s">
        <v>67</v>
      </c>
      <c r="B85" s="26" t="s">
        <v>94</v>
      </c>
      <c r="C85" s="27"/>
      <c r="D85" s="26"/>
      <c r="E85" s="26"/>
      <c r="F85" s="26"/>
      <c r="G85" s="28"/>
    </row>
    <row r="86" spans="1:7" ht="20.100000000000001" customHeight="1" x14ac:dyDescent="0.25">
      <c r="A86" s="25" t="s">
        <v>68</v>
      </c>
      <c r="B86" s="26" t="s">
        <v>94</v>
      </c>
      <c r="C86" s="27"/>
      <c r="D86" s="26"/>
      <c r="E86" s="26"/>
      <c r="F86" s="26"/>
      <c r="G86" s="28"/>
    </row>
    <row r="87" spans="1:7" ht="20.100000000000001" customHeight="1" x14ac:dyDescent="0.25">
      <c r="A87" s="25" t="s">
        <v>69</v>
      </c>
      <c r="B87" s="26" t="s">
        <v>94</v>
      </c>
      <c r="C87" s="27"/>
      <c r="D87" s="26"/>
      <c r="E87" s="26"/>
      <c r="F87" s="26"/>
      <c r="G87" s="31"/>
    </row>
    <row r="88" spans="1:7" ht="20.100000000000001" customHeight="1" x14ac:dyDescent="0.25">
      <c r="A88" s="25" t="s">
        <v>70</v>
      </c>
      <c r="B88" s="26" t="s">
        <v>94</v>
      </c>
      <c r="C88" s="27"/>
      <c r="D88" s="26"/>
      <c r="E88" s="26"/>
      <c r="F88" s="26"/>
      <c r="G88" s="31"/>
    </row>
    <row r="89" spans="1:7" ht="20.100000000000001" customHeight="1" x14ac:dyDescent="0.25">
      <c r="A89" s="25" t="s">
        <v>71</v>
      </c>
      <c r="B89" s="26" t="s">
        <v>94</v>
      </c>
      <c r="C89" s="27"/>
      <c r="D89" s="26"/>
      <c r="E89" s="26"/>
      <c r="F89" s="26"/>
      <c r="G89" s="31"/>
    </row>
    <row r="90" spans="1:7" ht="20.100000000000001" customHeight="1" x14ac:dyDescent="0.25">
      <c r="A90" s="25" t="s">
        <v>72</v>
      </c>
      <c r="B90" s="26" t="s">
        <v>94</v>
      </c>
      <c r="C90" s="27"/>
      <c r="D90" s="26"/>
      <c r="E90" s="26"/>
      <c r="F90" s="26"/>
      <c r="G90" s="28"/>
    </row>
    <row r="91" spans="1:7" ht="20.100000000000001" customHeight="1" x14ac:dyDescent="0.25">
      <c r="A91" s="25" t="s">
        <v>73</v>
      </c>
      <c r="B91" s="26" t="s">
        <v>94</v>
      </c>
      <c r="C91" s="27"/>
      <c r="D91" s="26"/>
      <c r="E91" s="26"/>
      <c r="F91" s="26"/>
      <c r="G91" s="28"/>
    </row>
    <row r="92" spans="1:7" ht="20.100000000000001" customHeight="1" x14ac:dyDescent="0.25">
      <c r="A92" s="25" t="s">
        <v>74</v>
      </c>
      <c r="B92" s="26" t="s">
        <v>94</v>
      </c>
      <c r="C92" s="27"/>
      <c r="D92" s="26"/>
      <c r="E92" s="26"/>
      <c r="F92" s="26"/>
      <c r="G92" s="31"/>
    </row>
    <row r="93" spans="1:7" ht="20.100000000000001" customHeight="1" x14ac:dyDescent="0.25"/>
    <row r="94" spans="1:7" ht="20.100000000000001" customHeight="1" x14ac:dyDescent="0.25"/>
    <row r="95" spans="1:7" ht="20.100000000000001" customHeight="1" x14ac:dyDescent="0.25"/>
    <row r="96" spans="1:7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</sheetData>
  <mergeCells count="2">
    <mergeCell ref="A1:F1"/>
    <mergeCell ref="A48:G48"/>
  </mergeCells>
  <pageMargins left="0.7" right="0.7" top="0.75" bottom="0.75" header="0.3" footer="0.3"/>
  <pageSetup scale="78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M34"/>
  <sheetViews>
    <sheetView zoomScale="62" zoomScaleNormal="62" workbookViewId="0">
      <selection activeCell="H6" sqref="H6"/>
    </sheetView>
  </sheetViews>
  <sheetFormatPr baseColWidth="10" defaultRowHeight="15" x14ac:dyDescent="0.25"/>
  <cols>
    <col min="1" max="1" width="57.42578125" customWidth="1"/>
    <col min="8" max="8" width="35.85546875" customWidth="1"/>
    <col min="9" max="9" width="15.85546875" customWidth="1"/>
    <col min="10" max="10" width="18" customWidth="1"/>
    <col min="11" max="11" width="50.85546875" customWidth="1"/>
    <col min="12" max="12" width="34.5703125" customWidth="1"/>
    <col min="13" max="13" width="23.140625" customWidth="1"/>
  </cols>
  <sheetData>
    <row r="1" spans="1:13" ht="73.5" customHeight="1" x14ac:dyDescent="0.25">
      <c r="A1" s="1" t="s">
        <v>95</v>
      </c>
      <c r="B1" s="1"/>
      <c r="C1" s="1"/>
      <c r="D1" s="1"/>
      <c r="E1" s="1"/>
      <c r="G1" s="2" t="s">
        <v>96</v>
      </c>
      <c r="H1" s="2"/>
      <c r="I1" s="2"/>
      <c r="J1" s="2"/>
      <c r="K1" s="2"/>
      <c r="L1" s="3" t="s">
        <v>97</v>
      </c>
    </row>
    <row r="2" spans="1:13" ht="15.75" customHeight="1" x14ac:dyDescent="0.4">
      <c r="A2" s="1"/>
      <c r="B2" s="1"/>
      <c r="C2" s="1"/>
      <c r="D2" s="1"/>
      <c r="E2" s="1"/>
      <c r="G2" s="4" t="s">
        <v>98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7" t="s">
        <v>10</v>
      </c>
      <c r="H4" s="8" t="s">
        <v>99</v>
      </c>
      <c r="I4" s="9" t="s">
        <v>100</v>
      </c>
      <c r="J4" s="8" t="s">
        <v>101</v>
      </c>
      <c r="K4" s="10" t="s">
        <v>102</v>
      </c>
      <c r="L4" s="8" t="s">
        <v>25</v>
      </c>
    </row>
    <row r="5" spans="1:13" ht="30" customHeight="1" x14ac:dyDescent="0.25">
      <c r="G5" s="7" t="s">
        <v>16</v>
      </c>
      <c r="H5" s="8" t="s">
        <v>103</v>
      </c>
      <c r="I5" s="9" t="s">
        <v>104</v>
      </c>
      <c r="J5" s="8" t="s">
        <v>105</v>
      </c>
      <c r="K5" s="10" t="s">
        <v>102</v>
      </c>
      <c r="L5" s="8" t="s">
        <v>25</v>
      </c>
    </row>
    <row r="6" spans="1:13" ht="30" customHeight="1" x14ac:dyDescent="0.25">
      <c r="G6" s="7" t="s">
        <v>18</v>
      </c>
      <c r="H6" s="8" t="s">
        <v>106</v>
      </c>
      <c r="I6" s="9" t="s">
        <v>107</v>
      </c>
      <c r="J6" s="8" t="s">
        <v>108</v>
      </c>
      <c r="K6" s="10" t="s">
        <v>102</v>
      </c>
      <c r="L6" s="8" t="s">
        <v>25</v>
      </c>
    </row>
    <row r="7" spans="1:13" ht="30" customHeight="1" x14ac:dyDescent="0.25">
      <c r="G7" s="7" t="s">
        <v>19</v>
      </c>
      <c r="H7" s="8" t="s">
        <v>109</v>
      </c>
      <c r="I7" s="9" t="s">
        <v>110</v>
      </c>
      <c r="J7" s="8" t="s">
        <v>111</v>
      </c>
      <c r="K7" s="10" t="s">
        <v>112</v>
      </c>
      <c r="L7" s="8" t="s">
        <v>25</v>
      </c>
    </row>
    <row r="8" spans="1:13" ht="30" customHeight="1" x14ac:dyDescent="0.25">
      <c r="G8" s="7" t="s">
        <v>20</v>
      </c>
      <c r="H8" s="8" t="s">
        <v>113</v>
      </c>
      <c r="I8" s="9" t="s">
        <v>114</v>
      </c>
      <c r="J8" s="8" t="s">
        <v>115</v>
      </c>
      <c r="K8" s="10" t="s">
        <v>116</v>
      </c>
      <c r="L8" s="8" t="s">
        <v>25</v>
      </c>
    </row>
    <row r="9" spans="1:13" ht="30" customHeight="1" x14ac:dyDescent="0.25">
      <c r="G9" s="7" t="s">
        <v>26</v>
      </c>
      <c r="H9" s="8" t="s">
        <v>117</v>
      </c>
      <c r="I9" s="9" t="s">
        <v>118</v>
      </c>
      <c r="J9" s="8" t="s">
        <v>119</v>
      </c>
      <c r="K9" s="10" t="s">
        <v>112</v>
      </c>
      <c r="L9" s="8" t="s">
        <v>25</v>
      </c>
      <c r="M9" s="13"/>
    </row>
    <row r="10" spans="1:13" ht="30" customHeight="1" x14ac:dyDescent="0.25">
      <c r="G10" s="7" t="s">
        <v>29</v>
      </c>
      <c r="H10" s="8"/>
      <c r="I10" s="9"/>
      <c r="J10" s="8"/>
      <c r="K10" s="10"/>
      <c r="L10" s="8"/>
      <c r="M10" s="13"/>
    </row>
    <row r="11" spans="1:13" ht="30" customHeight="1" x14ac:dyDescent="0.25">
      <c r="G11" s="7" t="s">
        <v>30</v>
      </c>
      <c r="H11" s="8"/>
      <c r="I11" s="9"/>
      <c r="J11" s="8"/>
      <c r="K11" s="10"/>
      <c r="L11" s="8"/>
      <c r="M11" s="13"/>
    </row>
    <row r="12" spans="1:13" ht="30" customHeight="1" x14ac:dyDescent="0.25">
      <c r="G12" s="7" t="s">
        <v>35</v>
      </c>
      <c r="H12" s="8"/>
      <c r="I12" s="9"/>
      <c r="J12" s="8"/>
      <c r="K12" s="10"/>
      <c r="L12" s="8"/>
      <c r="M12" s="13"/>
    </row>
    <row r="13" spans="1:13" ht="30" customHeight="1" x14ac:dyDescent="0.25">
      <c r="G13" s="7" t="s">
        <v>36</v>
      </c>
      <c r="H13" s="8"/>
      <c r="I13" s="9"/>
      <c r="J13" s="8"/>
      <c r="K13" s="10"/>
      <c r="L13" s="8"/>
      <c r="M13" s="13"/>
    </row>
    <row r="14" spans="1:13" ht="30" customHeight="1" x14ac:dyDescent="0.25">
      <c r="G14" s="7" t="s">
        <v>37</v>
      </c>
      <c r="H14" s="8"/>
      <c r="I14" s="9"/>
      <c r="J14" s="8"/>
      <c r="K14" s="10"/>
      <c r="L14" s="8"/>
      <c r="M14" s="13"/>
    </row>
    <row r="15" spans="1:13" ht="30" customHeight="1" x14ac:dyDescent="0.25">
      <c r="G15" s="7" t="s">
        <v>42</v>
      </c>
      <c r="H15" s="8"/>
      <c r="I15" s="9"/>
      <c r="J15" s="8"/>
      <c r="K15" s="10"/>
      <c r="L15" s="8"/>
      <c r="M15" s="13"/>
    </row>
    <row r="16" spans="1:13" ht="30" customHeight="1" x14ac:dyDescent="0.25">
      <c r="G16" s="7" t="s">
        <v>46</v>
      </c>
      <c r="H16" s="8" t="s">
        <v>120</v>
      </c>
      <c r="I16" s="8" t="s">
        <v>121</v>
      </c>
      <c r="J16" s="8" t="s">
        <v>122</v>
      </c>
      <c r="K16" s="10" t="s">
        <v>123</v>
      </c>
      <c r="L16" s="8" t="s">
        <v>25</v>
      </c>
      <c r="M16" s="13"/>
    </row>
    <row r="17" spans="7:13" ht="30" customHeight="1" x14ac:dyDescent="0.25">
      <c r="G17" s="7" t="s">
        <v>47</v>
      </c>
      <c r="H17" s="8"/>
      <c r="I17" s="9"/>
      <c r="J17" s="8"/>
      <c r="K17" s="10"/>
      <c r="L17" s="8"/>
      <c r="M17" s="13"/>
    </row>
    <row r="18" spans="7:13" ht="30" customHeight="1" x14ac:dyDescent="0.25">
      <c r="G18" s="7" t="s">
        <v>48</v>
      </c>
      <c r="H18" s="8"/>
      <c r="I18" s="9"/>
      <c r="J18" s="8"/>
      <c r="K18" s="10"/>
      <c r="L18" s="8"/>
      <c r="M18" s="13"/>
    </row>
    <row r="19" spans="7:13" ht="30" customHeight="1" x14ac:dyDescent="0.25">
      <c r="G19" s="7" t="s">
        <v>49</v>
      </c>
      <c r="H19" s="8"/>
      <c r="I19" s="9"/>
      <c r="J19" s="8"/>
      <c r="K19" s="10"/>
      <c r="L19" s="8"/>
      <c r="M19" s="13"/>
    </row>
    <row r="20" spans="7:13" ht="30" customHeight="1" x14ac:dyDescent="0.25">
      <c r="G20" s="7" t="s">
        <v>50</v>
      </c>
      <c r="H20" s="8" t="s">
        <v>124</v>
      </c>
      <c r="I20" s="9" t="s">
        <v>125</v>
      </c>
      <c r="J20" s="8" t="s">
        <v>126</v>
      </c>
      <c r="K20" s="10" t="s">
        <v>127</v>
      </c>
      <c r="L20" s="8" t="s">
        <v>25</v>
      </c>
      <c r="M20" s="13"/>
    </row>
    <row r="21" spans="7:13" ht="30" customHeight="1" x14ac:dyDescent="0.25">
      <c r="G21" s="7" t="s">
        <v>54</v>
      </c>
      <c r="H21" s="8" t="s">
        <v>124</v>
      </c>
      <c r="I21" s="9" t="s">
        <v>17</v>
      </c>
      <c r="J21" s="8" t="s">
        <v>17</v>
      </c>
      <c r="K21" s="10" t="s">
        <v>127</v>
      </c>
      <c r="L21" s="8" t="s">
        <v>25</v>
      </c>
      <c r="M21" s="13"/>
    </row>
    <row r="22" spans="7:13" ht="30" customHeight="1" x14ac:dyDescent="0.25">
      <c r="G22" s="7" t="s">
        <v>57</v>
      </c>
      <c r="H22" s="8"/>
      <c r="I22" s="9"/>
      <c r="J22" s="8"/>
      <c r="K22" s="10"/>
      <c r="L22" s="8"/>
      <c r="M22" s="13"/>
    </row>
    <row r="23" spans="7:13" ht="30" customHeight="1" x14ac:dyDescent="0.25">
      <c r="G23" s="7" t="s">
        <v>61</v>
      </c>
      <c r="H23" s="8"/>
      <c r="I23" s="9"/>
      <c r="J23" s="8"/>
      <c r="K23" s="10"/>
      <c r="L23" s="8"/>
      <c r="M23" s="13"/>
    </row>
    <row r="24" spans="7:13" ht="30" customHeight="1" x14ac:dyDescent="0.25">
      <c r="G24" s="7" t="s">
        <v>63</v>
      </c>
      <c r="H24" s="8" t="s">
        <v>128</v>
      </c>
      <c r="I24" s="8" t="s">
        <v>129</v>
      </c>
      <c r="J24" s="8" t="s">
        <v>130</v>
      </c>
      <c r="K24" s="10" t="s">
        <v>123</v>
      </c>
      <c r="L24" s="8" t="s">
        <v>25</v>
      </c>
      <c r="M24" s="13"/>
    </row>
    <row r="25" spans="7:13" ht="30" customHeight="1" x14ac:dyDescent="0.25">
      <c r="G25" s="7" t="s">
        <v>64</v>
      </c>
      <c r="H25" s="8" t="s">
        <v>131</v>
      </c>
      <c r="I25" s="8" t="s">
        <v>132</v>
      </c>
      <c r="J25" s="8" t="s">
        <v>133</v>
      </c>
      <c r="K25" s="10" t="s">
        <v>123</v>
      </c>
      <c r="L25" s="8" t="s">
        <v>25</v>
      </c>
      <c r="M25" s="13"/>
    </row>
    <row r="26" spans="7:13" ht="30" customHeight="1" x14ac:dyDescent="0.25">
      <c r="G26" s="7" t="s">
        <v>65</v>
      </c>
      <c r="H26" s="8" t="s">
        <v>134</v>
      </c>
      <c r="I26" s="8" t="s">
        <v>135</v>
      </c>
      <c r="J26" s="8" t="s">
        <v>17</v>
      </c>
      <c r="K26" s="10" t="s">
        <v>123</v>
      </c>
      <c r="L26" s="8" t="s">
        <v>25</v>
      </c>
    </row>
    <row r="27" spans="7:13" ht="30" customHeight="1" x14ac:dyDescent="0.25">
      <c r="G27" s="7" t="s">
        <v>67</v>
      </c>
      <c r="H27" s="8" t="s">
        <v>136</v>
      </c>
      <c r="I27" s="8" t="s">
        <v>137</v>
      </c>
      <c r="J27" s="8" t="s">
        <v>138</v>
      </c>
      <c r="K27" s="10" t="s">
        <v>123</v>
      </c>
      <c r="L27" s="8" t="s">
        <v>25</v>
      </c>
    </row>
    <row r="28" spans="7:13" ht="30" customHeight="1" x14ac:dyDescent="0.25">
      <c r="G28" s="7" t="s">
        <v>68</v>
      </c>
      <c r="H28" s="8"/>
      <c r="I28" s="8"/>
      <c r="J28" s="8"/>
      <c r="K28" s="10"/>
      <c r="L28" s="8"/>
    </row>
    <row r="29" spans="7:13" ht="30" customHeight="1" x14ac:dyDescent="0.25">
      <c r="G29" s="7" t="s">
        <v>69</v>
      </c>
      <c r="H29" s="8"/>
      <c r="I29" s="8"/>
      <c r="J29" s="8"/>
      <c r="K29" s="10"/>
      <c r="L29" s="8"/>
    </row>
    <row r="30" spans="7:13" ht="30" customHeight="1" x14ac:dyDescent="0.25">
      <c r="G30" s="7" t="s">
        <v>70</v>
      </c>
      <c r="H30" s="8"/>
      <c r="I30" s="9"/>
      <c r="J30" s="8"/>
      <c r="K30" s="10"/>
      <c r="L30" s="8"/>
    </row>
    <row r="31" spans="7:13" ht="30" customHeight="1" x14ac:dyDescent="0.25">
      <c r="G31" s="7" t="s">
        <v>71</v>
      </c>
      <c r="H31" s="8"/>
      <c r="I31" s="8"/>
      <c r="J31" s="8"/>
      <c r="K31" s="10"/>
      <c r="L31" s="8"/>
    </row>
    <row r="32" spans="7:13" ht="30" customHeight="1" x14ac:dyDescent="0.25">
      <c r="G32" s="7" t="s">
        <v>72</v>
      </c>
      <c r="H32" s="8"/>
      <c r="I32" s="9"/>
      <c r="J32" s="8"/>
      <c r="K32" s="10"/>
      <c r="L32" s="8"/>
    </row>
    <row r="33" spans="7:12" ht="30" customHeight="1" x14ac:dyDescent="0.25">
      <c r="G33" s="7" t="s">
        <v>73</v>
      </c>
      <c r="H33" s="8"/>
      <c r="I33" s="9"/>
      <c r="J33" s="8"/>
      <c r="K33" s="10"/>
      <c r="L33" s="8"/>
    </row>
    <row r="34" spans="7:12" ht="30" customHeight="1" x14ac:dyDescent="0.25">
      <c r="G34" s="7" t="s">
        <v>74</v>
      </c>
      <c r="H34" s="8"/>
      <c r="I34" s="9"/>
      <c r="J34" s="8"/>
      <c r="K34" s="10"/>
      <c r="L34" s="8"/>
    </row>
  </sheetData>
  <mergeCells count="3">
    <mergeCell ref="A1:E4"/>
    <mergeCell ref="G1:K1"/>
    <mergeCell ref="G2:K2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J155"/>
  <sheetViews>
    <sheetView topLeftCell="A46" zoomScale="73" zoomScaleNormal="73" workbookViewId="0">
      <selection activeCell="F66" sqref="F66"/>
    </sheetView>
  </sheetViews>
  <sheetFormatPr baseColWidth="10" defaultRowHeight="15" x14ac:dyDescent="0.25"/>
  <cols>
    <col min="2" max="2" width="34" customWidth="1"/>
    <col min="3" max="3" width="16.140625" customWidth="1"/>
    <col min="4" max="4" width="15.42578125" customWidth="1"/>
    <col min="5" max="5" width="17.85546875" customWidth="1"/>
    <col min="6" max="6" width="23.28515625" customWidth="1"/>
    <col min="7" max="7" width="23" customWidth="1"/>
  </cols>
  <sheetData>
    <row r="1" spans="1:8" ht="38.25" customHeight="1" x14ac:dyDescent="0.3">
      <c r="A1" s="14" t="s">
        <v>139</v>
      </c>
      <c r="B1" s="14"/>
      <c r="C1" s="14"/>
      <c r="D1" s="14"/>
      <c r="E1" s="14"/>
      <c r="F1" s="14"/>
    </row>
    <row r="3" spans="1:8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9</v>
      </c>
      <c r="G3" s="17"/>
      <c r="H3" s="17"/>
    </row>
    <row r="4" spans="1:8" ht="20.100000000000001" customHeight="1" x14ac:dyDescent="0.25">
      <c r="A4" s="8" t="s">
        <v>10</v>
      </c>
      <c r="B4" s="18" t="str">
        <f>'[1]DUNAS (01-08)'!H4</f>
        <v>ARMANDO NAVARRO + NIÑO</v>
      </c>
      <c r="C4" s="19">
        <v>45</v>
      </c>
      <c r="D4" s="19">
        <v>45</v>
      </c>
      <c r="E4" s="20">
        <f t="shared" ref="E4:E34" si="0">C4-D4</f>
        <v>0</v>
      </c>
      <c r="F4" s="21"/>
    </row>
    <row r="5" spans="1:8" ht="20.100000000000001" customHeight="1" x14ac:dyDescent="0.25">
      <c r="A5" s="8" t="s">
        <v>16</v>
      </c>
      <c r="B5" s="18" t="str">
        <f>'[1]DUNAS (01-08)'!H5</f>
        <v>DIEGO NAVARRO + NIÑO</v>
      </c>
      <c r="C5" s="19">
        <v>30</v>
      </c>
      <c r="D5" s="19">
        <v>30</v>
      </c>
      <c r="E5" s="20">
        <f t="shared" si="0"/>
        <v>0</v>
      </c>
      <c r="F5" s="33" t="s">
        <v>140</v>
      </c>
    </row>
    <row r="6" spans="1:8" ht="20.100000000000001" customHeight="1" x14ac:dyDescent="0.25">
      <c r="A6" s="8" t="s">
        <v>18</v>
      </c>
      <c r="B6" s="18" t="str">
        <f>'[1]DUNAS (01-08)'!H6</f>
        <v>SEBASTIAN NAVARRO</v>
      </c>
      <c r="C6" s="19">
        <v>30</v>
      </c>
      <c r="D6" s="19">
        <v>30</v>
      </c>
      <c r="E6" s="20">
        <f t="shared" si="0"/>
        <v>0</v>
      </c>
      <c r="F6" s="21"/>
    </row>
    <row r="7" spans="1:8" ht="20.100000000000001" customHeight="1" x14ac:dyDescent="0.25">
      <c r="A7" s="8" t="s">
        <v>19</v>
      </c>
      <c r="B7" s="18" t="str">
        <f>'[1]DUNAS (01-08)'!H7</f>
        <v>ANNERYS MUÑOZ</v>
      </c>
      <c r="C7" s="19">
        <v>30</v>
      </c>
      <c r="D7" s="19">
        <v>30</v>
      </c>
      <c r="E7" s="20">
        <f t="shared" si="0"/>
        <v>0</v>
      </c>
      <c r="F7" s="21"/>
    </row>
    <row r="8" spans="1:8" ht="20.100000000000001" customHeight="1" x14ac:dyDescent="0.25">
      <c r="A8" s="8" t="s">
        <v>20</v>
      </c>
      <c r="B8" s="18" t="str">
        <f>'[1]DUNAS (01-08)'!H8</f>
        <v>JOSMAR RODRIGUEZ</v>
      </c>
      <c r="C8" s="19">
        <v>30</v>
      </c>
      <c r="D8" s="19">
        <v>30</v>
      </c>
      <c r="E8" s="20">
        <f t="shared" si="0"/>
        <v>0</v>
      </c>
      <c r="F8" s="21"/>
    </row>
    <row r="9" spans="1:8" ht="20.100000000000001" customHeight="1" x14ac:dyDescent="0.25">
      <c r="A9" s="8" t="s">
        <v>26</v>
      </c>
      <c r="B9" s="18" t="str">
        <f>'[1]DUNAS (01-08)'!H9</f>
        <v>EDUARD GUY</v>
      </c>
      <c r="C9" s="19">
        <v>30</v>
      </c>
      <c r="D9" s="19">
        <v>30</v>
      </c>
      <c r="E9" s="20">
        <f t="shared" si="0"/>
        <v>0</v>
      </c>
      <c r="F9" s="21"/>
    </row>
    <row r="10" spans="1:8" ht="20.100000000000001" customHeight="1" x14ac:dyDescent="0.25">
      <c r="A10" s="8" t="s">
        <v>29</v>
      </c>
      <c r="B10" s="18">
        <f>'[1]DUNAS (01-08)'!H10</f>
        <v>0</v>
      </c>
      <c r="C10" s="19"/>
      <c r="D10" s="19"/>
      <c r="E10" s="20">
        <f t="shared" si="0"/>
        <v>0</v>
      </c>
      <c r="F10" s="21"/>
    </row>
    <row r="11" spans="1:8" ht="20.100000000000001" customHeight="1" x14ac:dyDescent="0.25">
      <c r="A11" s="8" t="s">
        <v>30</v>
      </c>
      <c r="B11" s="18">
        <f>'[1]DUNAS (01-08)'!H11</f>
        <v>0</v>
      </c>
      <c r="C11" s="19"/>
      <c r="D11" s="19"/>
      <c r="E11" s="20">
        <f t="shared" si="0"/>
        <v>0</v>
      </c>
      <c r="F11" s="21"/>
    </row>
    <row r="12" spans="1:8" ht="20.100000000000001" customHeight="1" x14ac:dyDescent="0.25">
      <c r="A12" s="8" t="s">
        <v>35</v>
      </c>
      <c r="B12" s="18">
        <f>'[1]DUNAS (01-08)'!H12</f>
        <v>0</v>
      </c>
      <c r="C12" s="19"/>
      <c r="D12" s="19"/>
      <c r="E12" s="20">
        <f t="shared" si="0"/>
        <v>0</v>
      </c>
      <c r="F12" s="21"/>
    </row>
    <row r="13" spans="1:8" ht="20.100000000000001" customHeight="1" x14ac:dyDescent="0.25">
      <c r="A13" s="8" t="s">
        <v>36</v>
      </c>
      <c r="B13" s="18">
        <f>'[1]DUNAS (01-08)'!H13</f>
        <v>0</v>
      </c>
      <c r="C13" s="19"/>
      <c r="D13" s="19"/>
      <c r="E13" s="20">
        <f t="shared" si="0"/>
        <v>0</v>
      </c>
      <c r="F13" s="21"/>
    </row>
    <row r="14" spans="1:8" ht="20.100000000000001" customHeight="1" x14ac:dyDescent="0.25">
      <c r="A14" s="8" t="s">
        <v>37</v>
      </c>
      <c r="B14" s="18">
        <f>'[1]DUNAS (01-08)'!H14</f>
        <v>0</v>
      </c>
      <c r="C14" s="19"/>
      <c r="D14" s="19"/>
      <c r="E14" s="20">
        <f t="shared" si="0"/>
        <v>0</v>
      </c>
      <c r="F14" s="21"/>
    </row>
    <row r="15" spans="1:8" ht="20.100000000000001" customHeight="1" x14ac:dyDescent="0.25">
      <c r="A15" s="8" t="s">
        <v>42</v>
      </c>
      <c r="B15" s="18">
        <f>'[1]DUNAS (01-08)'!H15</f>
        <v>0</v>
      </c>
      <c r="C15" s="19"/>
      <c r="D15" s="19"/>
      <c r="E15" s="20">
        <f t="shared" si="0"/>
        <v>0</v>
      </c>
      <c r="F15" s="21"/>
    </row>
    <row r="16" spans="1:8" ht="20.100000000000001" customHeight="1" x14ac:dyDescent="0.25">
      <c r="A16" s="8" t="s">
        <v>46</v>
      </c>
      <c r="B16" s="18" t="str">
        <f>'[1]DUNAS (01-08)'!H16</f>
        <v>LISANDRO JIMENEZ</v>
      </c>
      <c r="C16" s="19">
        <v>30</v>
      </c>
      <c r="D16" s="19">
        <v>30</v>
      </c>
      <c r="E16" s="20">
        <f t="shared" si="0"/>
        <v>0</v>
      </c>
      <c r="F16" s="21"/>
    </row>
    <row r="17" spans="1:6" ht="20.100000000000001" customHeight="1" x14ac:dyDescent="0.25">
      <c r="A17" s="8" t="s">
        <v>47</v>
      </c>
      <c r="B17" s="18">
        <f>'[1]DUNAS (01-08)'!H17</f>
        <v>0</v>
      </c>
      <c r="C17" s="19"/>
      <c r="D17" s="19"/>
      <c r="E17" s="20">
        <f t="shared" si="0"/>
        <v>0</v>
      </c>
      <c r="F17" s="21"/>
    </row>
    <row r="18" spans="1:6" ht="20.100000000000001" customHeight="1" x14ac:dyDescent="0.25">
      <c r="A18" s="8" t="s">
        <v>48</v>
      </c>
      <c r="B18" s="18">
        <f>'[1]DUNAS (01-08)'!H18</f>
        <v>0</v>
      </c>
      <c r="C18" s="19"/>
      <c r="D18" s="19"/>
      <c r="E18" s="20">
        <f t="shared" si="0"/>
        <v>0</v>
      </c>
      <c r="F18" s="21"/>
    </row>
    <row r="19" spans="1:6" ht="20.100000000000001" customHeight="1" x14ac:dyDescent="0.25">
      <c r="A19" s="8" t="s">
        <v>49</v>
      </c>
      <c r="B19" s="18">
        <f>'[1]DUNAS (01-08)'!H19</f>
        <v>0</v>
      </c>
      <c r="C19" s="19"/>
      <c r="D19" s="19"/>
      <c r="E19" s="20">
        <f t="shared" si="0"/>
        <v>0</v>
      </c>
      <c r="F19" s="21"/>
    </row>
    <row r="20" spans="1:6" ht="20.100000000000001" customHeight="1" x14ac:dyDescent="0.25">
      <c r="A20" s="8" t="s">
        <v>50</v>
      </c>
      <c r="B20" s="18" t="str">
        <f>'[1]DUNAS (01-08)'!H20</f>
        <v>CARLOS CESTRA</v>
      </c>
      <c r="C20" s="19">
        <v>30</v>
      </c>
      <c r="D20" s="19">
        <v>30</v>
      </c>
      <c r="E20" s="20">
        <f t="shared" si="0"/>
        <v>0</v>
      </c>
      <c r="F20" s="21"/>
    </row>
    <row r="21" spans="1:6" ht="20.100000000000001" customHeight="1" x14ac:dyDescent="0.25">
      <c r="A21" s="8" t="s">
        <v>54</v>
      </c>
      <c r="B21" s="18" t="str">
        <f>'[1]DUNAS (01-08)'!H21</f>
        <v>CARLOS CESTRA</v>
      </c>
      <c r="C21" s="19">
        <v>30</v>
      </c>
      <c r="D21" s="19">
        <v>30</v>
      </c>
      <c r="E21" s="20">
        <f t="shared" si="0"/>
        <v>0</v>
      </c>
      <c r="F21" s="21"/>
    </row>
    <row r="22" spans="1:6" ht="20.100000000000001" customHeight="1" x14ac:dyDescent="0.25">
      <c r="A22" s="8" t="s">
        <v>57</v>
      </c>
      <c r="B22" s="18">
        <f>'[1]DUNAS (01-08)'!H22</f>
        <v>0</v>
      </c>
      <c r="C22" s="19"/>
      <c r="D22" s="19"/>
      <c r="E22" s="20">
        <f t="shared" si="0"/>
        <v>0</v>
      </c>
      <c r="F22" s="21"/>
    </row>
    <row r="23" spans="1:6" ht="20.100000000000001" customHeight="1" x14ac:dyDescent="0.25">
      <c r="A23" s="8" t="s">
        <v>61</v>
      </c>
      <c r="B23" s="18">
        <f>'[1]DUNAS (01-08)'!H23</f>
        <v>0</v>
      </c>
      <c r="C23" s="19"/>
      <c r="D23" s="19"/>
      <c r="E23" s="20">
        <f t="shared" si="0"/>
        <v>0</v>
      </c>
      <c r="F23" s="21"/>
    </row>
    <row r="24" spans="1:6" ht="20.100000000000001" customHeight="1" x14ac:dyDescent="0.25">
      <c r="A24" s="8" t="s">
        <v>63</v>
      </c>
      <c r="B24" s="18" t="str">
        <f>'[1]DUNAS (01-08)'!H24</f>
        <v>MARIANGEL SUAREZ</v>
      </c>
      <c r="C24" s="19">
        <v>30</v>
      </c>
      <c r="D24" s="19">
        <v>30</v>
      </c>
      <c r="E24" s="20">
        <f t="shared" si="0"/>
        <v>0</v>
      </c>
      <c r="F24" s="21"/>
    </row>
    <row r="25" spans="1:6" ht="20.100000000000001" customHeight="1" x14ac:dyDescent="0.25">
      <c r="A25" s="8" t="s">
        <v>64</v>
      </c>
      <c r="B25" s="18" t="str">
        <f>'[1]DUNAS (01-08)'!H25</f>
        <v>NESTOR MELENDEZ</v>
      </c>
      <c r="C25" s="19">
        <v>30</v>
      </c>
      <c r="D25" s="19">
        <v>30</v>
      </c>
      <c r="E25" s="20">
        <f t="shared" si="0"/>
        <v>0</v>
      </c>
      <c r="F25" s="21"/>
    </row>
    <row r="26" spans="1:6" ht="20.100000000000001" customHeight="1" x14ac:dyDescent="0.25">
      <c r="A26" s="8" t="s">
        <v>65</v>
      </c>
      <c r="B26" s="18" t="str">
        <f>'[1]DUNAS (01-08)'!H26</f>
        <v>WILKAR MEDINA</v>
      </c>
      <c r="C26" s="19">
        <v>30</v>
      </c>
      <c r="D26" s="19">
        <v>30</v>
      </c>
      <c r="E26" s="20">
        <f t="shared" si="0"/>
        <v>0</v>
      </c>
      <c r="F26" s="21"/>
    </row>
    <row r="27" spans="1:6" ht="20.100000000000001" customHeight="1" x14ac:dyDescent="0.25">
      <c r="A27" s="8" t="s">
        <v>67</v>
      </c>
      <c r="B27" s="18" t="str">
        <f>'[1]DUNAS (01-08)'!H27</f>
        <v>KEYLA ESCALONA</v>
      </c>
      <c r="C27" s="19">
        <v>30</v>
      </c>
      <c r="D27" s="19">
        <v>30</v>
      </c>
      <c r="E27" s="20">
        <f t="shared" si="0"/>
        <v>0</v>
      </c>
      <c r="F27" s="21"/>
    </row>
    <row r="28" spans="1:6" ht="20.100000000000001" customHeight="1" x14ac:dyDescent="0.25">
      <c r="A28" s="8" t="s">
        <v>68</v>
      </c>
      <c r="B28" s="18">
        <f>'[1]DUNAS (01-08)'!H28</f>
        <v>0</v>
      </c>
      <c r="C28" s="19"/>
      <c r="D28" s="19"/>
      <c r="E28" s="20">
        <f t="shared" si="0"/>
        <v>0</v>
      </c>
      <c r="F28" s="21"/>
    </row>
    <row r="29" spans="1:6" ht="20.100000000000001" customHeight="1" x14ac:dyDescent="0.25">
      <c r="A29" s="8" t="s">
        <v>69</v>
      </c>
      <c r="B29" s="18">
        <f>'[1]DUNAS (01-08)'!H29</f>
        <v>0</v>
      </c>
      <c r="C29" s="19"/>
      <c r="D29" s="19"/>
      <c r="E29" s="20">
        <f t="shared" si="0"/>
        <v>0</v>
      </c>
      <c r="F29" s="21"/>
    </row>
    <row r="30" spans="1:6" ht="20.100000000000001" customHeight="1" x14ac:dyDescent="0.25">
      <c r="A30" s="8" t="s">
        <v>70</v>
      </c>
      <c r="B30" s="18">
        <f>'[1]DUNAS (01-08)'!H30</f>
        <v>0</v>
      </c>
      <c r="C30" s="19"/>
      <c r="D30" s="19"/>
      <c r="E30" s="20">
        <f t="shared" si="0"/>
        <v>0</v>
      </c>
      <c r="F30" s="21"/>
    </row>
    <row r="31" spans="1:6" ht="20.100000000000001" customHeight="1" x14ac:dyDescent="0.25">
      <c r="A31" s="8" t="s">
        <v>71</v>
      </c>
      <c r="B31" s="18">
        <f>'[1]DUNAS (01-08)'!H31</f>
        <v>0</v>
      </c>
      <c r="C31" s="19"/>
      <c r="D31" s="19"/>
      <c r="E31" s="20">
        <f t="shared" si="0"/>
        <v>0</v>
      </c>
      <c r="F31" s="21"/>
    </row>
    <row r="32" spans="1:6" ht="20.100000000000001" customHeight="1" x14ac:dyDescent="0.25">
      <c r="A32" s="8" t="s">
        <v>72</v>
      </c>
      <c r="B32" s="18">
        <f>'[1]DUNAS (01-08)'!H32</f>
        <v>0</v>
      </c>
      <c r="C32" s="19"/>
      <c r="D32" s="19"/>
      <c r="E32" s="20">
        <f t="shared" si="0"/>
        <v>0</v>
      </c>
      <c r="F32" s="21"/>
    </row>
    <row r="33" spans="1:7" ht="20.100000000000001" customHeight="1" x14ac:dyDescent="0.25">
      <c r="A33" s="8" t="s">
        <v>73</v>
      </c>
      <c r="B33" s="18">
        <f>'[1]DUNAS (01-08)'!H33</f>
        <v>0</v>
      </c>
      <c r="C33" s="19"/>
      <c r="D33" s="19"/>
      <c r="E33" s="20">
        <f t="shared" si="0"/>
        <v>0</v>
      </c>
      <c r="F33" s="21"/>
    </row>
    <row r="34" spans="1:7" ht="20.100000000000001" customHeight="1" x14ac:dyDescent="0.25">
      <c r="A34" s="8" t="s">
        <v>74</v>
      </c>
      <c r="B34" s="18">
        <f>'[1]DUNAS (01-08)'!H34</f>
        <v>0</v>
      </c>
      <c r="C34" s="19"/>
      <c r="D34" s="19"/>
      <c r="E34" s="20">
        <f t="shared" si="0"/>
        <v>0</v>
      </c>
      <c r="F34" s="21"/>
    </row>
    <row r="35" spans="1:7" ht="20.100000000000001" customHeight="1" x14ac:dyDescent="0.25"/>
    <row r="36" spans="1:7" ht="20.100000000000001" customHeight="1" x14ac:dyDescent="0.25">
      <c r="B36" s="15" t="s">
        <v>79</v>
      </c>
      <c r="C36" s="22">
        <f>SUM(C4:C34)</f>
        <v>405</v>
      </c>
      <c r="D36" s="22">
        <f>SUM(D4:D34)</f>
        <v>405</v>
      </c>
      <c r="E36" s="22">
        <f>SUM(E4:E34)</f>
        <v>0</v>
      </c>
      <c r="F36" s="22">
        <f>SUM(F4:F34)</f>
        <v>0</v>
      </c>
    </row>
    <row r="48" spans="1:7" ht="29.25" customHeight="1" x14ac:dyDescent="0.45">
      <c r="A48" s="23" t="s">
        <v>80</v>
      </c>
      <c r="B48" s="23"/>
      <c r="C48" s="23"/>
      <c r="D48" s="23"/>
      <c r="E48" s="23"/>
      <c r="F48" s="23"/>
      <c r="G48" s="23"/>
    </row>
    <row r="49" spans="1:10" ht="30" customHeight="1" x14ac:dyDescent="0.25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24" t="s">
        <v>85</v>
      </c>
    </row>
    <row r="50" spans="1:10" ht="20.100000000000001" customHeight="1" x14ac:dyDescent="0.25">
      <c r="A50" s="25" t="s">
        <v>46</v>
      </c>
      <c r="B50" s="26" t="s">
        <v>141</v>
      </c>
      <c r="C50" s="27"/>
      <c r="D50" s="26"/>
      <c r="E50" s="26">
        <v>60</v>
      </c>
      <c r="F50" s="34" t="s">
        <v>142</v>
      </c>
      <c r="G50" s="28">
        <v>46193</v>
      </c>
      <c r="H50" s="29"/>
      <c r="I50" s="30"/>
      <c r="J50" s="30"/>
    </row>
    <row r="51" spans="1:10" ht="20.100000000000001" customHeight="1" x14ac:dyDescent="0.25">
      <c r="A51" s="25" t="s">
        <v>63</v>
      </c>
      <c r="B51" s="26" t="s">
        <v>141</v>
      </c>
      <c r="C51" s="27">
        <v>10461</v>
      </c>
      <c r="D51" s="26">
        <v>697.4</v>
      </c>
      <c r="E51" s="26">
        <v>15</v>
      </c>
      <c r="F51" s="26" t="s">
        <v>143</v>
      </c>
      <c r="G51" s="28">
        <v>46193</v>
      </c>
      <c r="H51" s="29"/>
      <c r="I51" s="30"/>
      <c r="J51" s="30"/>
    </row>
    <row r="52" spans="1:10" ht="20.100000000000001" customHeight="1" x14ac:dyDescent="0.25">
      <c r="A52" s="25" t="s">
        <v>64</v>
      </c>
      <c r="B52" s="26" t="s">
        <v>141</v>
      </c>
      <c r="C52" s="27">
        <v>38654.22</v>
      </c>
      <c r="D52" s="26">
        <v>858.98</v>
      </c>
      <c r="E52" s="26">
        <v>45</v>
      </c>
      <c r="F52" s="26" t="s">
        <v>144</v>
      </c>
      <c r="G52" s="28">
        <v>46234</v>
      </c>
      <c r="H52" s="32"/>
      <c r="I52" s="32"/>
      <c r="J52" s="32"/>
    </row>
    <row r="53" spans="1:10" ht="20.100000000000001" customHeight="1" x14ac:dyDescent="0.25">
      <c r="A53" s="25" t="s">
        <v>65</v>
      </c>
      <c r="B53" s="26" t="s">
        <v>141</v>
      </c>
      <c r="C53" s="27">
        <v>25769.48</v>
      </c>
      <c r="D53" s="26">
        <v>858.98</v>
      </c>
      <c r="E53" s="26">
        <v>30</v>
      </c>
      <c r="F53" s="26" t="s">
        <v>145</v>
      </c>
      <c r="G53" s="28">
        <v>46234</v>
      </c>
      <c r="H53" s="32"/>
      <c r="I53" s="32"/>
      <c r="J53" s="32"/>
    </row>
    <row r="54" spans="1:10" ht="20.100000000000001" customHeight="1" x14ac:dyDescent="0.25">
      <c r="A54" s="25" t="s">
        <v>67</v>
      </c>
      <c r="B54" s="26" t="s">
        <v>141</v>
      </c>
      <c r="C54" s="27"/>
      <c r="D54" s="26"/>
      <c r="E54" s="26"/>
      <c r="F54" s="26"/>
      <c r="G54" s="28"/>
      <c r="H54" s="30"/>
      <c r="I54" s="30"/>
      <c r="J54" s="30"/>
    </row>
    <row r="55" spans="1:10" ht="20.100000000000001" customHeight="1" x14ac:dyDescent="0.25">
      <c r="H55" s="30"/>
      <c r="I55" s="30"/>
      <c r="J55" s="30"/>
    </row>
    <row r="56" spans="1:10" ht="20.100000000000001" customHeight="1" x14ac:dyDescent="0.25">
      <c r="H56" s="32"/>
      <c r="I56" s="32"/>
      <c r="J56" s="32"/>
    </row>
    <row r="57" spans="1:10" ht="20.100000000000001" customHeight="1" x14ac:dyDescent="0.25">
      <c r="H57" s="32"/>
      <c r="I57" s="32"/>
      <c r="J57" s="32"/>
    </row>
    <row r="58" spans="1:10" ht="20.100000000000001" customHeight="1" x14ac:dyDescent="0.25">
      <c r="A58" s="25" t="s">
        <v>19</v>
      </c>
      <c r="B58" s="26" t="s">
        <v>109</v>
      </c>
      <c r="C58" s="27">
        <v>25295.99</v>
      </c>
      <c r="D58" s="26">
        <v>843.2</v>
      </c>
      <c r="E58" s="26">
        <v>30</v>
      </c>
      <c r="F58" s="26" t="s">
        <v>146</v>
      </c>
      <c r="G58" s="28">
        <v>46223</v>
      </c>
      <c r="H58" s="32"/>
      <c r="I58" s="32"/>
      <c r="J58" s="32"/>
    </row>
    <row r="59" spans="1:10" ht="20.100000000000001" customHeight="1" x14ac:dyDescent="0.25">
      <c r="A59" s="25" t="s">
        <v>20</v>
      </c>
      <c r="B59" s="26" t="s">
        <v>109</v>
      </c>
      <c r="C59" s="27">
        <v>51538.95</v>
      </c>
      <c r="D59" s="26">
        <v>858.98</v>
      </c>
      <c r="E59" s="26">
        <v>60</v>
      </c>
      <c r="F59" s="26" t="s">
        <v>147</v>
      </c>
      <c r="G59" s="28">
        <v>46234</v>
      </c>
      <c r="H59" s="30"/>
      <c r="I59" s="30"/>
      <c r="J59" s="30"/>
    </row>
    <row r="60" spans="1:10" ht="20.100000000000001" customHeight="1" x14ac:dyDescent="0.25">
      <c r="A60" s="25" t="s">
        <v>26</v>
      </c>
      <c r="B60" s="26" t="s">
        <v>109</v>
      </c>
      <c r="C60" s="27"/>
      <c r="D60" s="26"/>
      <c r="E60" s="26"/>
      <c r="F60" s="26"/>
      <c r="G60" s="31"/>
      <c r="H60" s="30"/>
      <c r="I60" s="30"/>
      <c r="J60" s="30"/>
    </row>
    <row r="61" spans="1:10" ht="20.100000000000001" customHeight="1" x14ac:dyDescent="0.25">
      <c r="H61" s="30"/>
      <c r="I61" s="30"/>
      <c r="J61" s="30"/>
    </row>
    <row r="62" spans="1:10" ht="20.100000000000001" customHeight="1" x14ac:dyDescent="0.25">
      <c r="H62" s="32"/>
      <c r="I62" s="32"/>
      <c r="J62" s="32"/>
    </row>
    <row r="63" spans="1:10" ht="20.100000000000001" customHeight="1" x14ac:dyDescent="0.25">
      <c r="H63" s="32"/>
      <c r="I63" s="32"/>
      <c r="J63" s="32"/>
    </row>
    <row r="64" spans="1:10" ht="20.100000000000001" customHeight="1" x14ac:dyDescent="0.25">
      <c r="A64" s="25" t="s">
        <v>10</v>
      </c>
      <c r="B64" s="26" t="s">
        <v>148</v>
      </c>
      <c r="C64" s="27">
        <v>21700</v>
      </c>
      <c r="D64" s="26">
        <v>723.27</v>
      </c>
      <c r="E64" s="26">
        <v>30</v>
      </c>
      <c r="F64" s="26" t="s">
        <v>149</v>
      </c>
      <c r="G64" s="31">
        <v>46204</v>
      </c>
      <c r="H64" s="32"/>
      <c r="I64" s="30"/>
      <c r="J64" s="30"/>
    </row>
    <row r="65" spans="1:10" ht="20.100000000000001" customHeight="1" x14ac:dyDescent="0.25">
      <c r="A65" s="25" t="s">
        <v>16</v>
      </c>
      <c r="B65" s="26" t="s">
        <v>148</v>
      </c>
      <c r="C65" s="27">
        <v>65253.34</v>
      </c>
      <c r="D65" s="26">
        <v>870.04</v>
      </c>
      <c r="E65" s="26">
        <v>75</v>
      </c>
      <c r="F65" s="26" t="s">
        <v>150</v>
      </c>
      <c r="G65" s="31">
        <v>46239</v>
      </c>
      <c r="H65" s="32"/>
      <c r="I65" s="30"/>
      <c r="J65" s="30"/>
    </row>
    <row r="66" spans="1:10" ht="20.100000000000001" customHeight="1" x14ac:dyDescent="0.25">
      <c r="A66" s="25" t="s">
        <v>18</v>
      </c>
      <c r="B66" s="26" t="s">
        <v>148</v>
      </c>
      <c r="C66" s="27"/>
      <c r="D66" s="26"/>
      <c r="E66" s="26"/>
      <c r="F66" s="26"/>
      <c r="G66" s="31"/>
      <c r="H66" s="32"/>
      <c r="I66" s="30"/>
      <c r="J66" s="30"/>
    </row>
    <row r="67" spans="1:10" ht="20.100000000000001" customHeight="1" x14ac:dyDescent="0.25">
      <c r="H67" s="32"/>
      <c r="I67" s="30"/>
      <c r="J67" s="30"/>
    </row>
    <row r="68" spans="1:10" ht="20.100000000000001" customHeight="1" x14ac:dyDescent="0.25">
      <c r="H68" s="32"/>
    </row>
    <row r="69" spans="1:10" ht="20.100000000000001" customHeight="1" x14ac:dyDescent="0.25">
      <c r="H69" s="32"/>
    </row>
    <row r="70" spans="1:10" ht="20.100000000000001" customHeight="1" x14ac:dyDescent="0.25">
      <c r="A70" s="25" t="s">
        <v>50</v>
      </c>
      <c r="B70" s="26" t="s">
        <v>124</v>
      </c>
      <c r="C70" s="27">
        <v>13108</v>
      </c>
      <c r="D70" s="26">
        <v>655.38</v>
      </c>
      <c r="E70" s="26">
        <v>20</v>
      </c>
      <c r="F70" s="26" t="s">
        <v>151</v>
      </c>
      <c r="G70" s="28">
        <v>46182</v>
      </c>
      <c r="H70" s="32"/>
    </row>
    <row r="71" spans="1:10" ht="20.100000000000001" customHeight="1" x14ac:dyDescent="0.25">
      <c r="A71" s="25" t="s">
        <v>54</v>
      </c>
      <c r="B71" s="26" t="s">
        <v>124</v>
      </c>
      <c r="C71" s="27">
        <v>13944.3</v>
      </c>
      <c r="D71" s="26">
        <v>697.36</v>
      </c>
      <c r="E71" s="26">
        <v>20</v>
      </c>
      <c r="F71" s="26" t="s">
        <v>152</v>
      </c>
      <c r="G71" s="28">
        <v>46192</v>
      </c>
      <c r="H71" s="32"/>
    </row>
    <row r="72" spans="1:10" ht="20.100000000000001" customHeight="1" x14ac:dyDescent="0.25">
      <c r="C72" s="27">
        <v>17179.650000000001</v>
      </c>
      <c r="D72" s="26">
        <v>858.98</v>
      </c>
      <c r="E72" s="26">
        <v>20</v>
      </c>
      <c r="F72" s="26" t="s">
        <v>153</v>
      </c>
      <c r="G72" s="28">
        <v>46234</v>
      </c>
      <c r="H72" s="32"/>
    </row>
    <row r="73" spans="1:10" ht="20.100000000000001" customHeight="1" x14ac:dyDescent="0.25">
      <c r="H73" s="32"/>
    </row>
    <row r="74" spans="1:10" ht="20.100000000000001" customHeight="1" x14ac:dyDescent="0.25"/>
    <row r="75" spans="1:10" ht="20.100000000000001" customHeight="1" x14ac:dyDescent="0.25"/>
    <row r="76" spans="1:10" ht="20.100000000000001" customHeight="1" x14ac:dyDescent="0.25">
      <c r="A76" s="25" t="s">
        <v>29</v>
      </c>
      <c r="B76" s="26" t="s">
        <v>94</v>
      </c>
      <c r="C76" s="27"/>
      <c r="D76" s="26"/>
      <c r="E76" s="26"/>
      <c r="F76" s="26"/>
      <c r="G76" s="31"/>
    </row>
    <row r="77" spans="1:10" ht="20.100000000000001" customHeight="1" x14ac:dyDescent="0.25">
      <c r="A77" s="25" t="s">
        <v>30</v>
      </c>
      <c r="B77" s="26" t="s">
        <v>94</v>
      </c>
      <c r="C77" s="27"/>
      <c r="D77" s="26"/>
      <c r="E77" s="26"/>
      <c r="F77" s="26"/>
      <c r="G77" s="31"/>
    </row>
    <row r="78" spans="1:10" ht="20.100000000000001" customHeight="1" x14ac:dyDescent="0.25">
      <c r="A78" s="25" t="s">
        <v>35</v>
      </c>
      <c r="B78" s="26" t="s">
        <v>94</v>
      </c>
      <c r="C78" s="27"/>
      <c r="D78" s="26"/>
      <c r="E78" s="26"/>
      <c r="F78" s="26"/>
      <c r="G78" s="31"/>
    </row>
    <row r="79" spans="1:10" ht="20.100000000000001" customHeight="1" x14ac:dyDescent="0.25">
      <c r="A79" s="25" t="s">
        <v>36</v>
      </c>
      <c r="B79" s="26" t="s">
        <v>94</v>
      </c>
      <c r="C79" s="27"/>
      <c r="D79" s="26"/>
      <c r="E79" s="26"/>
      <c r="F79" s="26"/>
      <c r="G79" s="31"/>
    </row>
    <row r="80" spans="1:10" ht="20.100000000000001" customHeight="1" x14ac:dyDescent="0.25">
      <c r="A80" s="25" t="s">
        <v>37</v>
      </c>
      <c r="B80" s="26" t="s">
        <v>94</v>
      </c>
      <c r="C80" s="27"/>
      <c r="D80" s="26"/>
      <c r="E80" s="26"/>
      <c r="F80" s="26"/>
      <c r="G80" s="31"/>
    </row>
    <row r="81" spans="1:7" ht="20.100000000000001" customHeight="1" x14ac:dyDescent="0.25">
      <c r="A81" s="25" t="s">
        <v>42</v>
      </c>
      <c r="B81" s="26" t="s">
        <v>94</v>
      </c>
      <c r="C81" s="27"/>
      <c r="D81" s="26"/>
      <c r="E81" s="26"/>
      <c r="F81" s="26"/>
      <c r="G81" s="31"/>
    </row>
    <row r="82" spans="1:7" ht="20.100000000000001" customHeight="1" x14ac:dyDescent="0.25">
      <c r="A82" s="25" t="s">
        <v>47</v>
      </c>
      <c r="B82" s="26" t="s">
        <v>94</v>
      </c>
      <c r="C82" s="27"/>
      <c r="D82" s="26"/>
      <c r="E82" s="26"/>
      <c r="F82" s="26"/>
      <c r="G82" s="31"/>
    </row>
    <row r="83" spans="1:7" ht="20.100000000000001" customHeight="1" x14ac:dyDescent="0.25">
      <c r="A83" s="25" t="s">
        <v>48</v>
      </c>
      <c r="B83" s="26" t="s">
        <v>94</v>
      </c>
      <c r="C83" s="27"/>
      <c r="D83" s="26"/>
      <c r="E83" s="26"/>
      <c r="F83" s="26"/>
      <c r="G83" s="31"/>
    </row>
    <row r="84" spans="1:7" ht="20.100000000000001" customHeight="1" x14ac:dyDescent="0.25">
      <c r="A84" s="25" t="s">
        <v>49</v>
      </c>
      <c r="B84" s="26" t="s">
        <v>94</v>
      </c>
      <c r="C84" s="27"/>
      <c r="D84" s="26"/>
      <c r="E84" s="26"/>
      <c r="F84" s="26"/>
      <c r="G84" s="31"/>
    </row>
    <row r="85" spans="1:7" ht="20.100000000000001" customHeight="1" x14ac:dyDescent="0.25">
      <c r="A85" s="25" t="s">
        <v>57</v>
      </c>
      <c r="B85" s="26" t="s">
        <v>94</v>
      </c>
      <c r="C85" s="27"/>
      <c r="D85" s="26"/>
      <c r="E85" s="26"/>
      <c r="F85" s="26"/>
      <c r="G85" s="31"/>
    </row>
    <row r="86" spans="1:7" ht="20.100000000000001" customHeight="1" x14ac:dyDescent="0.25">
      <c r="A86" s="25" t="s">
        <v>61</v>
      </c>
      <c r="B86" s="26" t="s">
        <v>94</v>
      </c>
      <c r="C86" s="27"/>
      <c r="D86" s="26"/>
      <c r="E86" s="26"/>
      <c r="F86" s="26"/>
      <c r="G86" s="31"/>
    </row>
    <row r="87" spans="1:7" ht="20.100000000000001" customHeight="1" x14ac:dyDescent="0.25">
      <c r="A87" s="25" t="s">
        <v>68</v>
      </c>
      <c r="B87" s="26" t="s">
        <v>94</v>
      </c>
      <c r="C87" s="27"/>
      <c r="D87" s="26"/>
      <c r="E87" s="26"/>
      <c r="F87" s="26"/>
      <c r="G87" s="28"/>
    </row>
    <row r="88" spans="1:7" ht="20.100000000000001" customHeight="1" x14ac:dyDescent="0.25">
      <c r="A88" s="25" t="s">
        <v>69</v>
      </c>
      <c r="B88" s="26" t="s">
        <v>94</v>
      </c>
      <c r="C88" s="27"/>
      <c r="D88" s="26"/>
      <c r="E88" s="26"/>
      <c r="F88" s="26"/>
      <c r="G88" s="28"/>
    </row>
    <row r="89" spans="1:7" ht="20.100000000000001" customHeight="1" x14ac:dyDescent="0.25">
      <c r="A89" s="25" t="s">
        <v>70</v>
      </c>
      <c r="B89" s="26" t="s">
        <v>94</v>
      </c>
      <c r="C89" s="27"/>
      <c r="D89" s="26"/>
      <c r="E89" s="26"/>
      <c r="F89" s="26"/>
      <c r="G89" s="31"/>
    </row>
    <row r="90" spans="1:7" ht="20.100000000000001" customHeight="1" x14ac:dyDescent="0.25">
      <c r="A90" s="25" t="s">
        <v>71</v>
      </c>
      <c r="B90" s="26" t="s">
        <v>94</v>
      </c>
      <c r="C90" s="27"/>
      <c r="D90" s="26"/>
      <c r="E90" s="26"/>
      <c r="F90" s="26"/>
      <c r="G90" s="31"/>
    </row>
    <row r="91" spans="1:7" ht="20.100000000000001" customHeight="1" x14ac:dyDescent="0.25">
      <c r="A91" s="25" t="s">
        <v>72</v>
      </c>
      <c r="B91" s="26" t="s">
        <v>94</v>
      </c>
      <c r="C91" s="27"/>
      <c r="D91" s="26"/>
      <c r="E91" s="26"/>
      <c r="F91" s="26"/>
      <c r="G91" s="31"/>
    </row>
    <row r="92" spans="1:7" ht="20.100000000000001" customHeight="1" x14ac:dyDescent="0.25">
      <c r="A92" s="25" t="s">
        <v>73</v>
      </c>
      <c r="B92" s="26" t="s">
        <v>94</v>
      </c>
      <c r="C92" s="27"/>
      <c r="D92" s="26"/>
      <c r="E92" s="26"/>
      <c r="F92" s="26"/>
      <c r="G92" s="31"/>
    </row>
    <row r="93" spans="1:7" ht="20.100000000000001" customHeight="1" x14ac:dyDescent="0.25">
      <c r="A93" s="25" t="s">
        <v>74</v>
      </c>
      <c r="B93" s="26" t="s">
        <v>94</v>
      </c>
      <c r="C93" s="27"/>
      <c r="D93" s="26"/>
      <c r="E93" s="26"/>
      <c r="F93" s="26"/>
      <c r="G93" s="31"/>
    </row>
    <row r="94" spans="1:7" ht="20.100000000000001" customHeight="1" x14ac:dyDescent="0.25"/>
    <row r="95" spans="1:7" ht="20.100000000000001" customHeight="1" x14ac:dyDescent="0.25"/>
    <row r="96" spans="1:7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</sheetData>
  <mergeCells count="2">
    <mergeCell ref="A1:F1"/>
    <mergeCell ref="A48:G48"/>
  </mergeCells>
  <pageMargins left="0.7" right="0.7" top="0.75" bottom="0.75" header="0.3" footer="0.3"/>
  <pageSetup scale="78" fitToHeight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M34"/>
  <sheetViews>
    <sheetView topLeftCell="A7" zoomScale="62" zoomScaleNormal="62" workbookViewId="0">
      <selection activeCell="K22" sqref="K22"/>
    </sheetView>
  </sheetViews>
  <sheetFormatPr baseColWidth="10" defaultRowHeight="15" x14ac:dyDescent="0.25"/>
  <cols>
    <col min="1" max="1" width="57.42578125" customWidth="1"/>
    <col min="8" max="8" width="32" customWidth="1"/>
    <col min="9" max="9" width="15.85546875" customWidth="1"/>
    <col min="10" max="10" width="18" customWidth="1"/>
    <col min="11" max="11" width="47.42578125" customWidth="1"/>
    <col min="12" max="12" width="34.5703125" customWidth="1"/>
    <col min="13" max="13" width="23.140625" customWidth="1"/>
  </cols>
  <sheetData>
    <row r="1" spans="1:13" ht="73.5" customHeight="1" x14ac:dyDescent="0.25">
      <c r="A1" s="1" t="s">
        <v>154</v>
      </c>
      <c r="B1" s="1"/>
      <c r="C1" s="1"/>
      <c r="D1" s="1"/>
      <c r="E1" s="1"/>
      <c r="G1" s="2" t="s">
        <v>155</v>
      </c>
      <c r="H1" s="2"/>
      <c r="I1" s="2"/>
      <c r="J1" s="2"/>
      <c r="K1" s="2"/>
      <c r="L1" s="3" t="s">
        <v>156</v>
      </c>
    </row>
    <row r="2" spans="1:13" ht="15.75" customHeight="1" x14ac:dyDescent="0.4">
      <c r="A2" s="1"/>
      <c r="B2" s="1"/>
      <c r="C2" s="1"/>
      <c r="D2" s="1"/>
      <c r="E2" s="1"/>
      <c r="G2" s="4" t="s">
        <v>98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7" t="s">
        <v>10</v>
      </c>
      <c r="H4" s="8" t="s">
        <v>157</v>
      </c>
      <c r="I4" s="9" t="s">
        <v>17</v>
      </c>
      <c r="J4" s="8" t="s">
        <v>17</v>
      </c>
      <c r="K4" s="10" t="s">
        <v>158</v>
      </c>
      <c r="L4" s="8" t="s">
        <v>25</v>
      </c>
    </row>
    <row r="5" spans="1:13" ht="30" customHeight="1" x14ac:dyDescent="0.25">
      <c r="G5" s="7" t="s">
        <v>16</v>
      </c>
      <c r="H5" s="8" t="s">
        <v>157</v>
      </c>
      <c r="I5" s="9" t="s">
        <v>17</v>
      </c>
      <c r="J5" s="8" t="s">
        <v>17</v>
      </c>
      <c r="K5" s="10" t="s">
        <v>158</v>
      </c>
      <c r="L5" s="8" t="s">
        <v>25</v>
      </c>
    </row>
    <row r="6" spans="1:13" ht="30" customHeight="1" x14ac:dyDescent="0.25">
      <c r="G6" s="7" t="s">
        <v>18</v>
      </c>
      <c r="H6" s="8"/>
      <c r="I6" s="9"/>
      <c r="J6" s="8"/>
      <c r="K6" s="10"/>
      <c r="L6" s="8"/>
    </row>
    <row r="7" spans="1:13" ht="30" customHeight="1" x14ac:dyDescent="0.25">
      <c r="G7" s="7" t="s">
        <v>19</v>
      </c>
      <c r="H7" s="8"/>
      <c r="I7" s="9"/>
      <c r="J7" s="8"/>
      <c r="K7" s="10"/>
      <c r="L7" s="8"/>
    </row>
    <row r="8" spans="1:13" ht="30" customHeight="1" x14ac:dyDescent="0.25">
      <c r="G8" s="7" t="s">
        <v>20</v>
      </c>
      <c r="H8" s="8" t="s">
        <v>159</v>
      </c>
      <c r="I8" s="9" t="s">
        <v>17</v>
      </c>
      <c r="J8" s="8" t="s">
        <v>17</v>
      </c>
      <c r="K8" s="10" t="s">
        <v>160</v>
      </c>
      <c r="L8" s="8" t="s">
        <v>15</v>
      </c>
    </row>
    <row r="9" spans="1:13" ht="30" customHeight="1" x14ac:dyDescent="0.25">
      <c r="G9" s="7" t="s">
        <v>26</v>
      </c>
      <c r="H9" s="8" t="s">
        <v>159</v>
      </c>
      <c r="I9" s="9" t="s">
        <v>17</v>
      </c>
      <c r="J9" s="8" t="s">
        <v>17</v>
      </c>
      <c r="K9" s="10" t="s">
        <v>160</v>
      </c>
      <c r="L9" s="8" t="s">
        <v>15</v>
      </c>
      <c r="M9" s="13"/>
    </row>
    <row r="10" spans="1:13" ht="30" customHeight="1" x14ac:dyDescent="0.25">
      <c r="G10" s="7" t="s">
        <v>29</v>
      </c>
      <c r="H10" s="8"/>
      <c r="I10" s="9"/>
      <c r="J10" s="8"/>
      <c r="K10" s="10"/>
      <c r="L10" s="8"/>
      <c r="M10" s="13"/>
    </row>
    <row r="11" spans="1:13" ht="30" customHeight="1" x14ac:dyDescent="0.25">
      <c r="G11" s="7" t="s">
        <v>30</v>
      </c>
      <c r="H11" s="8"/>
      <c r="I11" s="9"/>
      <c r="J11" s="8"/>
      <c r="K11" s="10"/>
      <c r="L11" s="8"/>
      <c r="M11" s="13"/>
    </row>
    <row r="12" spans="1:13" ht="30" customHeight="1" x14ac:dyDescent="0.25">
      <c r="G12" s="7" t="s">
        <v>35</v>
      </c>
      <c r="H12" s="8" t="s">
        <v>161</v>
      </c>
      <c r="I12" s="9" t="s">
        <v>162</v>
      </c>
      <c r="J12" s="8" t="s">
        <v>163</v>
      </c>
      <c r="K12" s="10" t="s">
        <v>164</v>
      </c>
      <c r="L12" s="8" t="s">
        <v>25</v>
      </c>
      <c r="M12" s="13"/>
    </row>
    <row r="13" spans="1:13" ht="30" customHeight="1" x14ac:dyDescent="0.25">
      <c r="G13" s="7" t="s">
        <v>36</v>
      </c>
      <c r="H13" s="8" t="s">
        <v>165</v>
      </c>
      <c r="I13" s="9" t="s">
        <v>166</v>
      </c>
      <c r="J13" s="8" t="s">
        <v>167</v>
      </c>
      <c r="K13" s="10" t="s">
        <v>168</v>
      </c>
      <c r="L13" s="8" t="s">
        <v>25</v>
      </c>
      <c r="M13" s="13"/>
    </row>
    <row r="14" spans="1:13" ht="30" customHeight="1" x14ac:dyDescent="0.25">
      <c r="G14" s="7" t="s">
        <v>37</v>
      </c>
      <c r="H14" s="8" t="s">
        <v>169</v>
      </c>
      <c r="I14" s="9" t="s">
        <v>170</v>
      </c>
      <c r="J14" s="8" t="s">
        <v>171</v>
      </c>
      <c r="K14" s="10"/>
      <c r="L14" s="8" t="s">
        <v>25</v>
      </c>
      <c r="M14" s="13"/>
    </row>
    <row r="15" spans="1:13" ht="30" customHeight="1" x14ac:dyDescent="0.25">
      <c r="G15" s="7" t="s">
        <v>42</v>
      </c>
      <c r="H15" s="8" t="s">
        <v>172</v>
      </c>
      <c r="I15" s="9" t="s">
        <v>173</v>
      </c>
      <c r="J15" s="8" t="s">
        <v>174</v>
      </c>
      <c r="K15" s="10" t="s">
        <v>175</v>
      </c>
      <c r="L15" s="8" t="s">
        <v>25</v>
      </c>
      <c r="M15" s="13"/>
    </row>
    <row r="16" spans="1:13" ht="30" customHeight="1" x14ac:dyDescent="0.25">
      <c r="G16" s="7" t="s">
        <v>46</v>
      </c>
      <c r="H16" s="8" t="s">
        <v>176</v>
      </c>
      <c r="I16" s="9" t="s">
        <v>177</v>
      </c>
      <c r="J16" s="8" t="s">
        <v>178</v>
      </c>
      <c r="K16" s="10" t="s">
        <v>175</v>
      </c>
      <c r="L16" s="8" t="s">
        <v>25</v>
      </c>
      <c r="M16" s="13"/>
    </row>
    <row r="17" spans="7:13" ht="30" customHeight="1" x14ac:dyDescent="0.25">
      <c r="G17" s="7" t="s">
        <v>47</v>
      </c>
      <c r="H17" s="8" t="s">
        <v>179</v>
      </c>
      <c r="I17" s="9" t="s">
        <v>180</v>
      </c>
      <c r="J17" s="8" t="s">
        <v>181</v>
      </c>
      <c r="K17" s="10"/>
      <c r="L17" s="8" t="s">
        <v>25</v>
      </c>
      <c r="M17" s="13"/>
    </row>
    <row r="18" spans="7:13" ht="30" customHeight="1" x14ac:dyDescent="0.25">
      <c r="G18" s="7" t="s">
        <v>48</v>
      </c>
      <c r="H18" s="8"/>
      <c r="I18" s="9"/>
      <c r="J18" s="8"/>
      <c r="K18" s="10"/>
      <c r="L18" s="8"/>
      <c r="M18" s="13"/>
    </row>
    <row r="19" spans="7:13" ht="30" customHeight="1" x14ac:dyDescent="0.25">
      <c r="G19" s="7" t="s">
        <v>49</v>
      </c>
      <c r="H19" s="8"/>
      <c r="I19" s="9"/>
      <c r="J19" s="8"/>
      <c r="K19" s="10"/>
      <c r="L19" s="8"/>
      <c r="M19" s="13"/>
    </row>
    <row r="20" spans="7:13" ht="30" customHeight="1" x14ac:dyDescent="0.25">
      <c r="G20" s="7" t="s">
        <v>50</v>
      </c>
      <c r="H20" s="8"/>
      <c r="I20" s="9"/>
      <c r="J20" s="8"/>
      <c r="K20" s="10"/>
      <c r="L20" s="8"/>
      <c r="M20" s="13"/>
    </row>
    <row r="21" spans="7:13" ht="30" customHeight="1" x14ac:dyDescent="0.25">
      <c r="G21" s="7" t="s">
        <v>54</v>
      </c>
      <c r="H21" s="8"/>
      <c r="I21" s="9"/>
      <c r="J21" s="8"/>
      <c r="K21" s="10"/>
      <c r="L21" s="8"/>
      <c r="M21" s="13"/>
    </row>
    <row r="22" spans="7:13" ht="30" customHeight="1" x14ac:dyDescent="0.25">
      <c r="G22" s="7" t="s">
        <v>57</v>
      </c>
      <c r="H22" s="8" t="s">
        <v>182</v>
      </c>
      <c r="I22" s="9" t="s">
        <v>183</v>
      </c>
      <c r="J22" s="8" t="s">
        <v>184</v>
      </c>
      <c r="K22" s="10" t="s">
        <v>160</v>
      </c>
      <c r="L22" s="8" t="s">
        <v>25</v>
      </c>
      <c r="M22" s="13"/>
    </row>
    <row r="23" spans="7:13" ht="30" customHeight="1" x14ac:dyDescent="0.25">
      <c r="G23" s="7" t="s">
        <v>61</v>
      </c>
      <c r="H23" s="8" t="s">
        <v>185</v>
      </c>
      <c r="I23" s="9" t="s">
        <v>186</v>
      </c>
      <c r="J23" s="8" t="s">
        <v>17</v>
      </c>
      <c r="K23" s="10" t="s">
        <v>160</v>
      </c>
      <c r="L23" s="8" t="s">
        <v>25</v>
      </c>
      <c r="M23" s="13"/>
    </row>
    <row r="24" spans="7:13" ht="30" customHeight="1" x14ac:dyDescent="0.25">
      <c r="G24" s="7" t="s">
        <v>63</v>
      </c>
      <c r="H24" s="8"/>
      <c r="I24" s="8"/>
      <c r="J24" s="8"/>
      <c r="K24" s="10"/>
      <c r="L24" s="8"/>
      <c r="M24" s="13"/>
    </row>
    <row r="25" spans="7:13" ht="30" customHeight="1" x14ac:dyDescent="0.25">
      <c r="G25" s="7" t="s">
        <v>64</v>
      </c>
      <c r="H25" s="8" t="s">
        <v>187</v>
      </c>
      <c r="I25" s="8" t="s">
        <v>188</v>
      </c>
      <c r="J25" s="8" t="s">
        <v>189</v>
      </c>
      <c r="K25" s="10" t="s">
        <v>190</v>
      </c>
      <c r="L25" s="8" t="s">
        <v>25</v>
      </c>
      <c r="M25" s="13"/>
    </row>
    <row r="26" spans="7:13" ht="30" customHeight="1" x14ac:dyDescent="0.25">
      <c r="G26" s="7" t="s">
        <v>65</v>
      </c>
      <c r="H26" s="8" t="s">
        <v>191</v>
      </c>
      <c r="I26" s="8" t="s">
        <v>192</v>
      </c>
      <c r="J26" s="8" t="s">
        <v>193</v>
      </c>
      <c r="K26" s="10" t="s">
        <v>190</v>
      </c>
      <c r="L26" s="8" t="s">
        <v>25</v>
      </c>
    </row>
    <row r="27" spans="7:13" ht="30" customHeight="1" x14ac:dyDescent="0.25">
      <c r="G27" s="7" t="s">
        <v>67</v>
      </c>
      <c r="H27" s="8" t="s">
        <v>194</v>
      </c>
      <c r="I27" s="8" t="s">
        <v>195</v>
      </c>
      <c r="J27" s="8" t="s">
        <v>196</v>
      </c>
      <c r="K27" s="10" t="s">
        <v>197</v>
      </c>
      <c r="L27" s="8" t="s">
        <v>25</v>
      </c>
    </row>
    <row r="28" spans="7:13" ht="30" customHeight="1" x14ac:dyDescent="0.25">
      <c r="G28" s="7" t="s">
        <v>68</v>
      </c>
      <c r="H28" s="8"/>
      <c r="I28" s="8"/>
      <c r="J28" s="8"/>
      <c r="K28" s="10"/>
      <c r="L28" s="8"/>
    </row>
    <row r="29" spans="7:13" ht="30" customHeight="1" x14ac:dyDescent="0.25">
      <c r="G29" s="7" t="s">
        <v>69</v>
      </c>
      <c r="H29" s="8"/>
      <c r="I29" s="8"/>
      <c r="J29" s="8"/>
      <c r="K29" s="10"/>
      <c r="L29" s="8"/>
    </row>
    <row r="30" spans="7:13" ht="30" customHeight="1" x14ac:dyDescent="0.25">
      <c r="G30" s="7" t="s">
        <v>70</v>
      </c>
      <c r="H30" s="8"/>
      <c r="I30" s="9"/>
      <c r="J30" s="8"/>
      <c r="K30" s="10"/>
      <c r="L30" s="8"/>
    </row>
    <row r="31" spans="7:13" ht="30" customHeight="1" x14ac:dyDescent="0.25">
      <c r="G31" s="7" t="s">
        <v>71</v>
      </c>
      <c r="H31" s="8"/>
      <c r="I31" s="8"/>
      <c r="J31" s="8"/>
      <c r="K31" s="10"/>
      <c r="L31" s="8"/>
    </row>
    <row r="32" spans="7:13" ht="30" customHeight="1" x14ac:dyDescent="0.25">
      <c r="G32" s="7" t="s">
        <v>72</v>
      </c>
      <c r="H32" s="8"/>
      <c r="I32" s="9"/>
      <c r="J32" s="8"/>
      <c r="K32" s="10"/>
      <c r="L32" s="8"/>
    </row>
    <row r="33" spans="7:12" ht="30" customHeight="1" x14ac:dyDescent="0.25">
      <c r="G33" s="7" t="s">
        <v>73</v>
      </c>
      <c r="H33" s="8"/>
      <c r="I33" s="9"/>
      <c r="J33" s="8"/>
      <c r="K33" s="10"/>
      <c r="L33" s="8"/>
    </row>
    <row r="34" spans="7:12" ht="30" customHeight="1" x14ac:dyDescent="0.25">
      <c r="G34" s="7" t="s">
        <v>74</v>
      </c>
      <c r="H34" s="8"/>
      <c r="I34" s="9"/>
      <c r="J34" s="8"/>
      <c r="K34" s="10"/>
      <c r="L34" s="8"/>
    </row>
  </sheetData>
  <mergeCells count="3">
    <mergeCell ref="A1:E4"/>
    <mergeCell ref="G1:K1"/>
    <mergeCell ref="G2:K2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J152"/>
  <sheetViews>
    <sheetView topLeftCell="A55" zoomScale="73" zoomScaleNormal="73" workbookViewId="0">
      <selection activeCell="D76" sqref="D76"/>
    </sheetView>
  </sheetViews>
  <sheetFormatPr baseColWidth="10" defaultRowHeight="15" x14ac:dyDescent="0.25"/>
  <cols>
    <col min="2" max="2" width="34" customWidth="1"/>
    <col min="3" max="3" width="16.140625" customWidth="1"/>
    <col min="4" max="4" width="15.42578125" customWidth="1"/>
    <col min="5" max="5" width="17.85546875" customWidth="1"/>
    <col min="6" max="6" width="23.28515625" customWidth="1"/>
    <col min="7" max="7" width="23" customWidth="1"/>
  </cols>
  <sheetData>
    <row r="1" spans="1:8" ht="38.25" customHeight="1" x14ac:dyDescent="0.3">
      <c r="A1" s="14" t="s">
        <v>198</v>
      </c>
      <c r="B1" s="14"/>
      <c r="C1" s="14"/>
      <c r="D1" s="14"/>
      <c r="E1" s="14"/>
      <c r="F1" s="14"/>
    </row>
    <row r="3" spans="1:8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199</v>
      </c>
      <c r="G3" s="17"/>
      <c r="H3" s="17"/>
    </row>
    <row r="4" spans="1:8" ht="20.100000000000001" customHeight="1" x14ac:dyDescent="0.25">
      <c r="A4" s="8" t="s">
        <v>10</v>
      </c>
      <c r="B4" s="18" t="str">
        <f>'[1]CUBIRO (02-08)'!H4</f>
        <v>JOHAN GUAINA</v>
      </c>
      <c r="C4" s="19">
        <v>15</v>
      </c>
      <c r="D4" s="19">
        <v>15</v>
      </c>
      <c r="E4" s="20">
        <f t="shared" ref="E4:E34" si="0">C4-D4</f>
        <v>0</v>
      </c>
      <c r="F4" s="33" t="s">
        <v>200</v>
      </c>
    </row>
    <row r="5" spans="1:8" ht="20.100000000000001" customHeight="1" x14ac:dyDescent="0.25">
      <c r="A5" s="8" t="s">
        <v>16</v>
      </c>
      <c r="B5" s="18" t="str">
        <f>'[1]CUBIRO (02-08)'!H5</f>
        <v>JOHAN GUAINA</v>
      </c>
      <c r="C5" s="19">
        <v>15</v>
      </c>
      <c r="D5" s="19">
        <v>15</v>
      </c>
      <c r="E5" s="20">
        <f t="shared" si="0"/>
        <v>0</v>
      </c>
      <c r="F5" s="33" t="s">
        <v>200</v>
      </c>
    </row>
    <row r="6" spans="1:8" ht="20.100000000000001" customHeight="1" x14ac:dyDescent="0.25">
      <c r="A6" s="8" t="s">
        <v>18</v>
      </c>
      <c r="B6" s="18">
        <f>'[1]CUBIRO (02-08)'!H6</f>
        <v>0</v>
      </c>
      <c r="C6" s="19"/>
      <c r="D6" s="19"/>
      <c r="E6" s="20">
        <f t="shared" si="0"/>
        <v>0</v>
      </c>
      <c r="F6" s="21"/>
    </row>
    <row r="7" spans="1:8" ht="20.100000000000001" customHeight="1" x14ac:dyDescent="0.25">
      <c r="A7" s="8" t="s">
        <v>19</v>
      </c>
      <c r="B7" s="18">
        <f>'[1]CUBIRO (02-08)'!H7</f>
        <v>0</v>
      </c>
      <c r="C7" s="19"/>
      <c r="D7" s="19"/>
      <c r="E7" s="20">
        <f t="shared" si="0"/>
        <v>0</v>
      </c>
      <c r="F7" s="21"/>
    </row>
    <row r="8" spans="1:8" ht="20.100000000000001" customHeight="1" x14ac:dyDescent="0.25">
      <c r="A8" s="8" t="s">
        <v>20</v>
      </c>
      <c r="B8" s="18" t="str">
        <f>'[1]CUBIRO (02-08)'!H8</f>
        <v>ARANZA GIL</v>
      </c>
      <c r="C8" s="19">
        <v>16</v>
      </c>
      <c r="D8" s="19">
        <v>16</v>
      </c>
      <c r="E8" s="20">
        <f t="shared" si="0"/>
        <v>0</v>
      </c>
      <c r="F8" s="21"/>
    </row>
    <row r="9" spans="1:8" ht="20.100000000000001" customHeight="1" x14ac:dyDescent="0.25">
      <c r="A9" s="8" t="s">
        <v>26</v>
      </c>
      <c r="B9" s="18" t="str">
        <f>'[1]CUBIRO (02-08)'!H9</f>
        <v>ARANZA GIL</v>
      </c>
      <c r="C9" s="19">
        <v>16</v>
      </c>
      <c r="D9" s="19">
        <v>16</v>
      </c>
      <c r="E9" s="20">
        <f t="shared" si="0"/>
        <v>0</v>
      </c>
      <c r="F9" s="21"/>
    </row>
    <row r="10" spans="1:8" ht="20.100000000000001" customHeight="1" x14ac:dyDescent="0.25">
      <c r="A10" s="8" t="s">
        <v>29</v>
      </c>
      <c r="B10" s="18">
        <f>'[1]CUBIRO (02-08)'!H10</f>
        <v>0</v>
      </c>
      <c r="C10" s="19"/>
      <c r="D10" s="19"/>
      <c r="E10" s="20">
        <f t="shared" si="0"/>
        <v>0</v>
      </c>
      <c r="F10" s="21"/>
    </row>
    <row r="11" spans="1:8" ht="20.100000000000001" customHeight="1" x14ac:dyDescent="0.25">
      <c r="A11" s="8" t="s">
        <v>30</v>
      </c>
      <c r="B11" s="18">
        <f>'[1]CUBIRO (02-08)'!H11</f>
        <v>0</v>
      </c>
      <c r="C11" s="19"/>
      <c r="D11" s="19"/>
      <c r="E11" s="20">
        <f t="shared" si="0"/>
        <v>0</v>
      </c>
      <c r="F11" s="21"/>
    </row>
    <row r="12" spans="1:8" ht="20.100000000000001" customHeight="1" x14ac:dyDescent="0.25">
      <c r="A12" s="8" t="s">
        <v>35</v>
      </c>
      <c r="B12" s="18" t="str">
        <f>'[1]CUBIRO (02-08)'!H12</f>
        <v>GEORGINA BRIONES</v>
      </c>
      <c r="C12" s="19">
        <v>22</v>
      </c>
      <c r="D12" s="19">
        <v>22</v>
      </c>
      <c r="E12" s="20">
        <f t="shared" si="0"/>
        <v>0</v>
      </c>
      <c r="F12" s="35" t="s">
        <v>201</v>
      </c>
    </row>
    <row r="13" spans="1:8" ht="20.100000000000001" customHeight="1" x14ac:dyDescent="0.25">
      <c r="A13" s="8" t="s">
        <v>36</v>
      </c>
      <c r="B13" s="18" t="str">
        <f>'[1]CUBIRO (02-08)'!H13</f>
        <v>ROSSYRIS PEREZ</v>
      </c>
      <c r="C13" s="19">
        <v>22</v>
      </c>
      <c r="D13" s="19">
        <v>22</v>
      </c>
      <c r="E13" s="20">
        <f t="shared" si="0"/>
        <v>0</v>
      </c>
      <c r="F13" s="35" t="s">
        <v>201</v>
      </c>
    </row>
    <row r="14" spans="1:8" ht="20.100000000000001" customHeight="1" x14ac:dyDescent="0.25">
      <c r="A14" s="8" t="s">
        <v>37</v>
      </c>
      <c r="B14" s="18" t="str">
        <f>'[1]CUBIRO (02-08)'!H14</f>
        <v>MYLANIA MAVARES</v>
      </c>
      <c r="C14" s="19">
        <v>22</v>
      </c>
      <c r="D14" s="19">
        <v>22</v>
      </c>
      <c r="E14" s="20">
        <f t="shared" si="0"/>
        <v>0</v>
      </c>
      <c r="F14" s="35" t="s">
        <v>201</v>
      </c>
    </row>
    <row r="15" spans="1:8" ht="20.100000000000001" customHeight="1" x14ac:dyDescent="0.25">
      <c r="A15" s="8" t="s">
        <v>42</v>
      </c>
      <c r="B15" s="18" t="str">
        <f>'[1]CUBIRO (02-08)'!H15</f>
        <v>JOSE GARCIA</v>
      </c>
      <c r="C15" s="19">
        <v>22</v>
      </c>
      <c r="D15" s="19">
        <v>22</v>
      </c>
      <c r="E15" s="20">
        <f t="shared" si="0"/>
        <v>0</v>
      </c>
      <c r="F15" s="35" t="s">
        <v>201</v>
      </c>
    </row>
    <row r="16" spans="1:8" ht="20.100000000000001" customHeight="1" x14ac:dyDescent="0.25">
      <c r="A16" s="8" t="s">
        <v>46</v>
      </c>
      <c r="B16" s="18" t="str">
        <f>'[1]CUBIRO (02-08)'!H16</f>
        <v>EDGAR RODRIGUEZ</v>
      </c>
      <c r="C16" s="19">
        <v>22</v>
      </c>
      <c r="D16" s="19">
        <v>22</v>
      </c>
      <c r="E16" s="20">
        <f t="shared" si="0"/>
        <v>0</v>
      </c>
      <c r="F16" s="35" t="s">
        <v>201</v>
      </c>
    </row>
    <row r="17" spans="1:6" ht="20.100000000000001" customHeight="1" x14ac:dyDescent="0.25">
      <c r="A17" s="8" t="s">
        <v>47</v>
      </c>
      <c r="B17" s="18" t="str">
        <f>'[1]CUBIRO (02-08)'!H17</f>
        <v>ADRIAN MARTINEZ</v>
      </c>
      <c r="C17" s="19">
        <v>22</v>
      </c>
      <c r="D17" s="19">
        <v>22</v>
      </c>
      <c r="E17" s="20">
        <f t="shared" si="0"/>
        <v>0</v>
      </c>
      <c r="F17" s="35" t="s">
        <v>201</v>
      </c>
    </row>
    <row r="18" spans="1:6" ht="20.100000000000001" customHeight="1" x14ac:dyDescent="0.25">
      <c r="A18" s="8" t="s">
        <v>48</v>
      </c>
      <c r="B18" s="18">
        <f>'[1]CUBIRO (02-08)'!H18</f>
        <v>0</v>
      </c>
      <c r="C18" s="19"/>
      <c r="D18" s="19"/>
      <c r="E18" s="20">
        <f t="shared" si="0"/>
        <v>0</v>
      </c>
      <c r="F18" s="21"/>
    </row>
    <row r="19" spans="1:6" ht="20.100000000000001" customHeight="1" x14ac:dyDescent="0.25">
      <c r="A19" s="8" t="s">
        <v>49</v>
      </c>
      <c r="B19" s="18">
        <f>'[1]CUBIRO (02-08)'!H19</f>
        <v>0</v>
      </c>
      <c r="C19" s="19"/>
      <c r="D19" s="19"/>
      <c r="E19" s="20">
        <f t="shared" si="0"/>
        <v>0</v>
      </c>
      <c r="F19" s="21"/>
    </row>
    <row r="20" spans="1:6" ht="20.100000000000001" customHeight="1" x14ac:dyDescent="0.25">
      <c r="A20" s="8" t="s">
        <v>50</v>
      </c>
      <c r="B20" s="18">
        <f>'[1]CUBIRO (02-08)'!H20</f>
        <v>0</v>
      </c>
      <c r="C20" s="19"/>
      <c r="D20" s="19"/>
      <c r="E20" s="20">
        <f t="shared" si="0"/>
        <v>0</v>
      </c>
      <c r="F20" s="21"/>
    </row>
    <row r="21" spans="1:6" ht="20.100000000000001" customHeight="1" x14ac:dyDescent="0.25">
      <c r="A21" s="8" t="s">
        <v>54</v>
      </c>
      <c r="B21" s="18">
        <f>'[1]CUBIRO (02-08)'!H21</f>
        <v>0</v>
      </c>
      <c r="C21" s="19"/>
      <c r="D21" s="19"/>
      <c r="E21" s="20">
        <f t="shared" si="0"/>
        <v>0</v>
      </c>
      <c r="F21" s="21"/>
    </row>
    <row r="22" spans="1:6" ht="20.100000000000001" customHeight="1" x14ac:dyDescent="0.25">
      <c r="A22" s="8" t="s">
        <v>57</v>
      </c>
      <c r="B22" s="18" t="str">
        <f>'[1]CUBIRO (02-08)'!H22</f>
        <v>KARLA CASTELLANO</v>
      </c>
      <c r="C22" s="19">
        <v>16</v>
      </c>
      <c r="D22" s="19">
        <v>16</v>
      </c>
      <c r="E22" s="20">
        <f t="shared" si="0"/>
        <v>0</v>
      </c>
      <c r="F22" s="21"/>
    </row>
    <row r="23" spans="1:6" ht="20.100000000000001" customHeight="1" x14ac:dyDescent="0.25">
      <c r="A23" s="8" t="s">
        <v>61</v>
      </c>
      <c r="B23" s="18" t="str">
        <f>'[1]CUBIRO (02-08)'!H23</f>
        <v>MANUEL VILLANUEVA</v>
      </c>
      <c r="C23" s="19">
        <v>16</v>
      </c>
      <c r="D23" s="19">
        <v>16</v>
      </c>
      <c r="E23" s="20">
        <f t="shared" si="0"/>
        <v>0</v>
      </c>
      <c r="F23" s="21"/>
    </row>
    <row r="24" spans="1:6" ht="20.100000000000001" customHeight="1" x14ac:dyDescent="0.25">
      <c r="A24" s="8" t="s">
        <v>63</v>
      </c>
      <c r="B24" s="18">
        <f>'[1]CUBIRO (02-08)'!H24</f>
        <v>0</v>
      </c>
      <c r="C24" s="19"/>
      <c r="D24" s="19"/>
      <c r="E24" s="20">
        <f t="shared" si="0"/>
        <v>0</v>
      </c>
      <c r="F24" s="21"/>
    </row>
    <row r="25" spans="1:6" ht="20.100000000000001" customHeight="1" x14ac:dyDescent="0.25">
      <c r="A25" s="8" t="s">
        <v>64</v>
      </c>
      <c r="B25" s="18" t="str">
        <f>'[1]CUBIRO (02-08)'!H25</f>
        <v>ALBERTH SILVA</v>
      </c>
      <c r="C25" s="19">
        <v>16</v>
      </c>
      <c r="D25" s="19">
        <v>16</v>
      </c>
      <c r="E25" s="20">
        <f t="shared" si="0"/>
        <v>0</v>
      </c>
      <c r="F25" s="21"/>
    </row>
    <row r="26" spans="1:6" ht="20.100000000000001" customHeight="1" x14ac:dyDescent="0.25">
      <c r="A26" s="8" t="s">
        <v>65</v>
      </c>
      <c r="B26" s="18" t="str">
        <f>'[1]CUBIRO (02-08)'!H26</f>
        <v>MARIA SEQUERA</v>
      </c>
      <c r="C26" s="19">
        <v>16</v>
      </c>
      <c r="D26" s="19">
        <v>16</v>
      </c>
      <c r="E26" s="20">
        <f t="shared" si="0"/>
        <v>0</v>
      </c>
      <c r="F26" s="21"/>
    </row>
    <row r="27" spans="1:6" ht="20.100000000000001" customHeight="1" x14ac:dyDescent="0.25">
      <c r="A27" s="8" t="s">
        <v>67</v>
      </c>
      <c r="B27" s="18" t="str">
        <f>'[1]CUBIRO (02-08)'!H27</f>
        <v>EDGAR FREITEZ</v>
      </c>
      <c r="C27" s="19">
        <v>16</v>
      </c>
      <c r="D27" s="19">
        <v>16</v>
      </c>
      <c r="E27" s="20">
        <f t="shared" si="0"/>
        <v>0</v>
      </c>
      <c r="F27" s="21"/>
    </row>
    <row r="28" spans="1:6" ht="20.100000000000001" customHeight="1" x14ac:dyDescent="0.25">
      <c r="A28" s="8" t="s">
        <v>68</v>
      </c>
      <c r="B28" s="18">
        <f>'[1]CUBIRO (02-08)'!H28</f>
        <v>0</v>
      </c>
      <c r="C28" s="19"/>
      <c r="D28" s="19"/>
      <c r="E28" s="20">
        <f t="shared" si="0"/>
        <v>0</v>
      </c>
      <c r="F28" s="21"/>
    </row>
    <row r="29" spans="1:6" ht="20.100000000000001" customHeight="1" x14ac:dyDescent="0.25">
      <c r="A29" s="8" t="s">
        <v>69</v>
      </c>
      <c r="B29" s="18">
        <f>'[1]CUBIRO (02-08)'!H29</f>
        <v>0</v>
      </c>
      <c r="C29" s="19"/>
      <c r="D29" s="19"/>
      <c r="E29" s="20">
        <f t="shared" si="0"/>
        <v>0</v>
      </c>
      <c r="F29" s="21"/>
    </row>
    <row r="30" spans="1:6" ht="20.100000000000001" customHeight="1" x14ac:dyDescent="0.25">
      <c r="A30" s="8" t="s">
        <v>70</v>
      </c>
      <c r="B30" s="18">
        <f>'[1]CUBIRO (02-08)'!H30</f>
        <v>0</v>
      </c>
      <c r="C30" s="19"/>
      <c r="D30" s="19"/>
      <c r="E30" s="20">
        <f t="shared" si="0"/>
        <v>0</v>
      </c>
      <c r="F30" s="21"/>
    </row>
    <row r="31" spans="1:6" ht="20.100000000000001" customHeight="1" x14ac:dyDescent="0.25">
      <c r="A31" s="8" t="s">
        <v>71</v>
      </c>
      <c r="B31" s="18">
        <f>'[1]CUBIRO (02-08)'!H31</f>
        <v>0</v>
      </c>
      <c r="C31" s="19"/>
      <c r="D31" s="19"/>
      <c r="E31" s="20">
        <f t="shared" si="0"/>
        <v>0</v>
      </c>
      <c r="F31" s="21"/>
    </row>
    <row r="32" spans="1:6" ht="20.100000000000001" customHeight="1" x14ac:dyDescent="0.25">
      <c r="A32" s="8" t="s">
        <v>72</v>
      </c>
      <c r="B32" s="18">
        <f>'[1]CUBIRO (02-08)'!H32</f>
        <v>0</v>
      </c>
      <c r="C32" s="19"/>
      <c r="D32" s="19"/>
      <c r="E32" s="20">
        <f t="shared" si="0"/>
        <v>0</v>
      </c>
      <c r="F32" s="21"/>
    </row>
    <row r="33" spans="1:7" ht="20.100000000000001" customHeight="1" x14ac:dyDescent="0.25">
      <c r="A33" s="8" t="s">
        <v>73</v>
      </c>
      <c r="B33" s="18">
        <f>'[1]CUBIRO (02-08)'!H33</f>
        <v>0</v>
      </c>
      <c r="C33" s="19"/>
      <c r="D33" s="19"/>
      <c r="E33" s="20">
        <f t="shared" si="0"/>
        <v>0</v>
      </c>
      <c r="F33" s="21"/>
    </row>
    <row r="34" spans="1:7" ht="20.100000000000001" customHeight="1" x14ac:dyDescent="0.25">
      <c r="A34" s="8" t="s">
        <v>74</v>
      </c>
      <c r="B34" s="18">
        <f>'[1]CUBIRO (02-08)'!H34</f>
        <v>0</v>
      </c>
      <c r="C34" s="19"/>
      <c r="D34" s="19"/>
      <c r="E34" s="20">
        <f t="shared" si="0"/>
        <v>0</v>
      </c>
      <c r="F34" s="21"/>
    </row>
    <row r="35" spans="1:7" ht="20.100000000000001" customHeight="1" x14ac:dyDescent="0.25"/>
    <row r="36" spans="1:7" ht="20.100000000000001" customHeight="1" x14ac:dyDescent="0.25">
      <c r="B36" s="15" t="s">
        <v>79</v>
      </c>
      <c r="C36" s="22">
        <f>SUM(C4:C34)</f>
        <v>274</v>
      </c>
      <c r="D36" s="22">
        <f>SUM(D4:D34)</f>
        <v>274</v>
      </c>
      <c r="E36" s="22">
        <f>SUM(E4:E34)</f>
        <v>0</v>
      </c>
      <c r="F36" s="22">
        <f>SUM(F4:F34)</f>
        <v>0</v>
      </c>
    </row>
    <row r="48" spans="1:7" ht="29.25" customHeight="1" x14ac:dyDescent="0.45">
      <c r="A48" s="23" t="s">
        <v>80</v>
      </c>
      <c r="B48" s="23"/>
      <c r="C48" s="23"/>
      <c r="D48" s="23"/>
      <c r="E48" s="23"/>
      <c r="F48" s="23"/>
      <c r="G48" s="23"/>
    </row>
    <row r="49" spans="1:10" ht="30" customHeight="1" x14ac:dyDescent="0.25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24" t="s">
        <v>85</v>
      </c>
    </row>
    <row r="50" spans="1:10" ht="20.100000000000001" customHeight="1" x14ac:dyDescent="0.25">
      <c r="A50" s="25" t="s">
        <v>57</v>
      </c>
      <c r="B50" s="26" t="s">
        <v>202</v>
      </c>
      <c r="C50" s="27">
        <v>26907.53</v>
      </c>
      <c r="D50" s="26">
        <v>840.86</v>
      </c>
      <c r="E50" s="26">
        <v>32</v>
      </c>
      <c r="F50" s="26" t="s">
        <v>203</v>
      </c>
      <c r="G50" s="31">
        <v>46225</v>
      </c>
      <c r="H50" s="29"/>
      <c r="I50" s="30"/>
      <c r="J50" s="30"/>
    </row>
    <row r="51" spans="1:10" ht="20.100000000000001" customHeight="1" x14ac:dyDescent="0.25">
      <c r="A51" s="25" t="s">
        <v>61</v>
      </c>
      <c r="B51" s="26" t="s">
        <v>202</v>
      </c>
      <c r="C51" s="27"/>
      <c r="D51" s="26"/>
      <c r="E51" s="26"/>
      <c r="F51" s="26"/>
      <c r="G51" s="31"/>
      <c r="H51" s="29"/>
      <c r="I51" s="30"/>
      <c r="J51" s="30"/>
    </row>
    <row r="52" spans="1:10" ht="20.100000000000001" customHeight="1" x14ac:dyDescent="0.25">
      <c r="H52" s="32"/>
      <c r="I52" s="32"/>
      <c r="J52" s="32"/>
    </row>
    <row r="53" spans="1:10" ht="20.100000000000001" customHeight="1" x14ac:dyDescent="0.25">
      <c r="H53" s="32"/>
      <c r="I53" s="32"/>
      <c r="J53" s="32"/>
    </row>
    <row r="54" spans="1:10" ht="20.100000000000001" customHeight="1" x14ac:dyDescent="0.25">
      <c r="H54" s="30"/>
      <c r="I54" s="30"/>
      <c r="J54" s="30"/>
    </row>
    <row r="55" spans="1:10" ht="20.100000000000001" customHeight="1" x14ac:dyDescent="0.25">
      <c r="A55" s="25" t="s">
        <v>20</v>
      </c>
      <c r="B55" s="26" t="s">
        <v>159</v>
      </c>
      <c r="C55" s="27">
        <v>27487.439999999999</v>
      </c>
      <c r="D55" s="26">
        <v>858.98</v>
      </c>
      <c r="E55" s="26">
        <v>32</v>
      </c>
      <c r="F55" s="26" t="s">
        <v>204</v>
      </c>
      <c r="G55" s="31">
        <v>46236</v>
      </c>
      <c r="H55" s="30"/>
      <c r="I55" s="30"/>
      <c r="J55" s="30"/>
    </row>
    <row r="56" spans="1:10" ht="20.100000000000001" customHeight="1" x14ac:dyDescent="0.25">
      <c r="A56" s="25" t="s">
        <v>26</v>
      </c>
      <c r="B56" s="26" t="s">
        <v>159</v>
      </c>
      <c r="C56" s="27"/>
      <c r="D56" s="26"/>
      <c r="E56" s="26"/>
      <c r="F56" s="26"/>
      <c r="G56" s="31"/>
      <c r="H56" s="30"/>
      <c r="I56" s="30"/>
      <c r="J56" s="30"/>
    </row>
    <row r="57" spans="1:10" ht="20.100000000000001" customHeight="1" x14ac:dyDescent="0.25">
      <c r="H57" s="30"/>
      <c r="I57" s="30"/>
      <c r="J57" s="30"/>
    </row>
    <row r="58" spans="1:10" ht="20.100000000000001" customHeight="1" x14ac:dyDescent="0.25">
      <c r="H58" s="30"/>
      <c r="I58" s="30"/>
      <c r="J58" s="30"/>
    </row>
    <row r="59" spans="1:10" ht="20.100000000000001" customHeight="1" x14ac:dyDescent="0.25">
      <c r="H59" s="30"/>
      <c r="I59" s="30"/>
      <c r="J59" s="30"/>
    </row>
    <row r="60" spans="1:10" ht="20.100000000000001" customHeight="1" x14ac:dyDescent="0.25">
      <c r="A60" s="25" t="s">
        <v>64</v>
      </c>
      <c r="B60" s="26" t="s">
        <v>205</v>
      </c>
      <c r="C60" s="27">
        <v>27074.36</v>
      </c>
      <c r="D60" s="26">
        <v>846.07</v>
      </c>
      <c r="E60" s="26">
        <v>32</v>
      </c>
      <c r="F60" s="26" t="s">
        <v>206</v>
      </c>
      <c r="G60" s="31">
        <v>46232</v>
      </c>
      <c r="H60" s="32"/>
      <c r="I60" s="32"/>
      <c r="J60" s="32"/>
    </row>
    <row r="61" spans="1:10" ht="20.100000000000001" customHeight="1" x14ac:dyDescent="0.25">
      <c r="A61" s="25" t="s">
        <v>65</v>
      </c>
      <c r="B61" s="26" t="s">
        <v>205</v>
      </c>
      <c r="C61" s="27">
        <v>13743.72</v>
      </c>
      <c r="D61" s="26">
        <v>858.98</v>
      </c>
      <c r="E61" s="26">
        <v>16</v>
      </c>
      <c r="F61" s="26" t="s">
        <v>207</v>
      </c>
      <c r="G61" s="31">
        <v>46234</v>
      </c>
      <c r="H61" s="32"/>
      <c r="I61" s="32"/>
      <c r="J61" s="32"/>
    </row>
    <row r="62" spans="1:10" ht="20.100000000000001" customHeight="1" x14ac:dyDescent="0.25">
      <c r="A62" s="25" t="s">
        <v>67</v>
      </c>
      <c r="B62" s="26" t="s">
        <v>205</v>
      </c>
      <c r="C62" s="27"/>
      <c r="D62" s="26"/>
      <c r="E62" s="26"/>
      <c r="F62" s="26"/>
      <c r="G62" s="31"/>
      <c r="H62" s="32"/>
      <c r="I62" s="30"/>
      <c r="J62" s="30"/>
    </row>
    <row r="63" spans="1:10" ht="20.100000000000001" customHeight="1" x14ac:dyDescent="0.25">
      <c r="H63" s="32"/>
      <c r="I63" s="30"/>
      <c r="J63" s="30"/>
    </row>
    <row r="64" spans="1:10" ht="20.100000000000001" customHeight="1" x14ac:dyDescent="0.25">
      <c r="H64" s="32"/>
      <c r="I64" s="30"/>
      <c r="J64" s="30"/>
    </row>
    <row r="65" spans="1:10" ht="20.100000000000001" customHeight="1" x14ac:dyDescent="0.25">
      <c r="H65" s="32"/>
      <c r="I65" s="30"/>
      <c r="J65" s="30"/>
    </row>
    <row r="66" spans="1:10" ht="20.100000000000001" customHeight="1" x14ac:dyDescent="0.25">
      <c r="A66" s="25" t="s">
        <v>35</v>
      </c>
      <c r="B66" s="26" t="s">
        <v>208</v>
      </c>
      <c r="C66" s="27">
        <v>51600</v>
      </c>
      <c r="D66" s="26">
        <v>858.98</v>
      </c>
      <c r="E66" s="26">
        <v>60</v>
      </c>
      <c r="F66" s="26" t="s">
        <v>209</v>
      </c>
      <c r="G66" s="36">
        <v>46234</v>
      </c>
      <c r="H66" s="32"/>
    </row>
    <row r="67" spans="1:10" ht="20.100000000000001" customHeight="1" x14ac:dyDescent="0.25">
      <c r="A67" s="25" t="s">
        <v>36</v>
      </c>
      <c r="B67" s="26" t="s">
        <v>208</v>
      </c>
      <c r="C67" s="27">
        <v>61847</v>
      </c>
      <c r="D67" s="26">
        <v>858.98</v>
      </c>
      <c r="E67" s="26">
        <v>72</v>
      </c>
      <c r="F67" s="26" t="s">
        <v>210</v>
      </c>
      <c r="G67" s="36">
        <v>46236</v>
      </c>
      <c r="H67" s="32"/>
    </row>
    <row r="68" spans="1:10" ht="20.100000000000001" customHeight="1" x14ac:dyDescent="0.25">
      <c r="A68" s="25" t="s">
        <v>37</v>
      </c>
      <c r="B68" s="26" t="s">
        <v>208</v>
      </c>
      <c r="C68" s="27"/>
      <c r="D68" s="26"/>
      <c r="E68" s="26"/>
      <c r="F68" s="26"/>
      <c r="G68" s="36"/>
      <c r="H68" s="32"/>
    </row>
    <row r="69" spans="1:10" ht="20.100000000000001" customHeight="1" x14ac:dyDescent="0.25">
      <c r="A69" s="25" t="s">
        <v>42</v>
      </c>
      <c r="B69" s="26" t="s">
        <v>208</v>
      </c>
      <c r="C69" s="27"/>
      <c r="D69" s="26"/>
      <c r="E69" s="26"/>
      <c r="F69" s="26"/>
      <c r="G69" s="36"/>
      <c r="H69" s="32"/>
    </row>
    <row r="70" spans="1:10" ht="20.100000000000001" customHeight="1" x14ac:dyDescent="0.25">
      <c r="A70" s="25" t="s">
        <v>46</v>
      </c>
      <c r="B70" s="26" t="s">
        <v>208</v>
      </c>
      <c r="C70" s="27"/>
      <c r="D70" s="26"/>
      <c r="E70" s="26"/>
      <c r="F70" s="26"/>
      <c r="G70" s="36"/>
      <c r="H70" s="32"/>
    </row>
    <row r="71" spans="1:10" ht="20.100000000000001" customHeight="1" x14ac:dyDescent="0.25">
      <c r="A71" s="25" t="s">
        <v>47</v>
      </c>
      <c r="B71" s="26" t="s">
        <v>208</v>
      </c>
      <c r="C71" s="27"/>
      <c r="D71" s="26"/>
      <c r="E71" s="26"/>
      <c r="F71" s="26"/>
      <c r="G71" s="36"/>
      <c r="H71" s="32"/>
    </row>
    <row r="72" spans="1:10" ht="20.100000000000001" customHeight="1" x14ac:dyDescent="0.25"/>
    <row r="73" spans="1:10" ht="20.100000000000001" customHeight="1" x14ac:dyDescent="0.25"/>
    <row r="74" spans="1:10" ht="20.100000000000001" customHeight="1" x14ac:dyDescent="0.25"/>
    <row r="75" spans="1:10" ht="20.100000000000001" customHeight="1" x14ac:dyDescent="0.25">
      <c r="A75" s="25" t="s">
        <v>10</v>
      </c>
      <c r="B75" s="26" t="s">
        <v>157</v>
      </c>
      <c r="C75" s="27">
        <v>25955.38</v>
      </c>
      <c r="D75" s="26">
        <v>865.18</v>
      </c>
      <c r="E75" s="26">
        <v>30</v>
      </c>
      <c r="F75" s="26" t="s">
        <v>211</v>
      </c>
      <c r="G75" s="31">
        <v>46238</v>
      </c>
    </row>
    <row r="76" spans="1:10" ht="20.100000000000001" customHeight="1" x14ac:dyDescent="0.25">
      <c r="A76" s="25" t="s">
        <v>16</v>
      </c>
      <c r="B76" s="26" t="s">
        <v>157</v>
      </c>
      <c r="C76" s="27"/>
      <c r="D76" s="26"/>
      <c r="E76" s="26"/>
      <c r="F76" s="26"/>
      <c r="G76" s="31"/>
    </row>
    <row r="77" spans="1:10" ht="20.100000000000001" customHeight="1" x14ac:dyDescent="0.25"/>
    <row r="78" spans="1:10" ht="20.100000000000001" customHeight="1" x14ac:dyDescent="0.25"/>
    <row r="79" spans="1:10" ht="20.100000000000001" customHeight="1" x14ac:dyDescent="0.25"/>
    <row r="80" spans="1:10" ht="20.100000000000001" customHeight="1" x14ac:dyDescent="0.25">
      <c r="A80" s="25" t="s">
        <v>18</v>
      </c>
      <c r="B80" s="26" t="s">
        <v>94</v>
      </c>
      <c r="C80" s="27"/>
      <c r="D80" s="26"/>
      <c r="E80" s="26"/>
      <c r="F80" s="26"/>
      <c r="G80" s="31"/>
    </row>
    <row r="81" spans="1:7" ht="20.100000000000001" customHeight="1" x14ac:dyDescent="0.25">
      <c r="A81" s="25" t="s">
        <v>19</v>
      </c>
      <c r="B81" s="26" t="s">
        <v>94</v>
      </c>
      <c r="C81" s="27"/>
      <c r="D81" s="26"/>
      <c r="E81" s="26"/>
      <c r="F81" s="26"/>
      <c r="G81" s="31"/>
    </row>
    <row r="82" spans="1:7" ht="20.100000000000001" customHeight="1" x14ac:dyDescent="0.25">
      <c r="A82" s="25" t="s">
        <v>29</v>
      </c>
      <c r="B82" s="26" t="s">
        <v>94</v>
      </c>
      <c r="C82" s="27"/>
      <c r="D82" s="26"/>
      <c r="E82" s="26"/>
      <c r="F82" s="26"/>
      <c r="G82" s="31"/>
    </row>
    <row r="83" spans="1:7" ht="20.100000000000001" customHeight="1" x14ac:dyDescent="0.25">
      <c r="A83" s="25" t="s">
        <v>30</v>
      </c>
      <c r="B83" s="26" t="s">
        <v>94</v>
      </c>
      <c r="C83" s="27"/>
      <c r="D83" s="26"/>
      <c r="E83" s="26"/>
      <c r="F83" s="26"/>
      <c r="G83" s="31"/>
    </row>
    <row r="84" spans="1:7" ht="20.100000000000001" customHeight="1" x14ac:dyDescent="0.25">
      <c r="A84" s="25" t="s">
        <v>48</v>
      </c>
      <c r="B84" s="26" t="s">
        <v>94</v>
      </c>
      <c r="C84" s="27"/>
      <c r="D84" s="26"/>
      <c r="E84" s="26"/>
      <c r="F84" s="26"/>
      <c r="G84" s="31"/>
    </row>
    <row r="85" spans="1:7" ht="20.100000000000001" customHeight="1" x14ac:dyDescent="0.25">
      <c r="A85" s="25" t="s">
        <v>49</v>
      </c>
      <c r="B85" s="26" t="s">
        <v>94</v>
      </c>
      <c r="C85" s="27"/>
      <c r="D85" s="26"/>
      <c r="E85" s="26"/>
      <c r="F85" s="26"/>
      <c r="G85" s="31"/>
    </row>
    <row r="86" spans="1:7" ht="20.100000000000001" customHeight="1" x14ac:dyDescent="0.25">
      <c r="A86" s="25" t="s">
        <v>50</v>
      </c>
      <c r="B86" s="26" t="s">
        <v>94</v>
      </c>
      <c r="C86" s="27"/>
      <c r="D86" s="26"/>
      <c r="E86" s="26"/>
      <c r="F86" s="26"/>
      <c r="G86" s="31"/>
    </row>
    <row r="87" spans="1:7" ht="20.100000000000001" customHeight="1" x14ac:dyDescent="0.25">
      <c r="A87" s="25" t="s">
        <v>54</v>
      </c>
      <c r="B87" s="26" t="s">
        <v>94</v>
      </c>
      <c r="C87" s="27"/>
      <c r="D87" s="26"/>
      <c r="E87" s="26"/>
      <c r="F87" s="26"/>
      <c r="G87" s="31"/>
    </row>
    <row r="88" spans="1:7" ht="20.100000000000001" customHeight="1" x14ac:dyDescent="0.25">
      <c r="A88" s="25" t="s">
        <v>63</v>
      </c>
      <c r="B88" s="26" t="s">
        <v>94</v>
      </c>
      <c r="C88" s="27"/>
      <c r="D88" s="26"/>
      <c r="E88" s="26"/>
      <c r="F88" s="26"/>
      <c r="G88" s="31"/>
    </row>
    <row r="89" spans="1:7" ht="20.100000000000001" customHeight="1" x14ac:dyDescent="0.25">
      <c r="A89" s="25" t="s">
        <v>68</v>
      </c>
      <c r="B89" s="26" t="s">
        <v>94</v>
      </c>
      <c r="C89" s="27"/>
      <c r="D89" s="26"/>
      <c r="E89" s="26"/>
      <c r="F89" s="26"/>
      <c r="G89" s="31"/>
    </row>
    <row r="90" spans="1:7" ht="20.100000000000001" customHeight="1" x14ac:dyDescent="0.25">
      <c r="A90" s="25" t="s">
        <v>69</v>
      </c>
      <c r="B90" s="26" t="s">
        <v>94</v>
      </c>
      <c r="C90" s="27"/>
      <c r="D90" s="26"/>
      <c r="E90" s="26"/>
      <c r="F90" s="26"/>
      <c r="G90" s="31"/>
    </row>
    <row r="91" spans="1:7" ht="20.100000000000001" customHeight="1" x14ac:dyDescent="0.25">
      <c r="A91" s="25" t="s">
        <v>70</v>
      </c>
      <c r="B91" s="26" t="s">
        <v>94</v>
      </c>
      <c r="C91" s="27"/>
      <c r="D91" s="26"/>
      <c r="E91" s="26"/>
      <c r="F91" s="26"/>
      <c r="G91" s="31"/>
    </row>
    <row r="92" spans="1:7" ht="20.100000000000001" customHeight="1" x14ac:dyDescent="0.25">
      <c r="A92" s="25" t="s">
        <v>71</v>
      </c>
      <c r="B92" s="26" t="s">
        <v>94</v>
      </c>
      <c r="C92" s="27"/>
      <c r="D92" s="26"/>
      <c r="E92" s="26"/>
      <c r="F92" s="26"/>
      <c r="G92" s="31"/>
    </row>
    <row r="93" spans="1:7" ht="20.100000000000001" customHeight="1" x14ac:dyDescent="0.25">
      <c r="A93" s="25" t="s">
        <v>72</v>
      </c>
      <c r="B93" s="26" t="s">
        <v>94</v>
      </c>
      <c r="C93" s="27"/>
      <c r="D93" s="26"/>
      <c r="E93" s="26"/>
      <c r="F93" s="26"/>
      <c r="G93" s="31"/>
    </row>
    <row r="94" spans="1:7" ht="20.100000000000001" customHeight="1" x14ac:dyDescent="0.25">
      <c r="A94" s="25" t="s">
        <v>73</v>
      </c>
      <c r="B94" s="26" t="s">
        <v>94</v>
      </c>
      <c r="C94" s="27"/>
      <c r="D94" s="26"/>
      <c r="E94" s="26"/>
      <c r="F94" s="26"/>
      <c r="G94" s="31"/>
    </row>
    <row r="95" spans="1:7" ht="20.100000000000001" customHeight="1" x14ac:dyDescent="0.25">
      <c r="A95" s="25" t="s">
        <v>74</v>
      </c>
      <c r="B95" s="26" t="s">
        <v>94</v>
      </c>
      <c r="C95" s="27"/>
      <c r="D95" s="26"/>
      <c r="E95" s="26"/>
      <c r="F95" s="26"/>
      <c r="G95" s="31"/>
    </row>
    <row r="96" spans="1:7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</sheetData>
  <mergeCells count="2">
    <mergeCell ref="A1:F1"/>
    <mergeCell ref="A48:G48"/>
  </mergeCells>
  <pageMargins left="0.7" right="0.7" top="0.75" bottom="0.75" header="0.3" footer="0.3"/>
  <pageSetup scale="78" fitToHeight="0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A1:M34"/>
  <sheetViews>
    <sheetView zoomScale="62" zoomScaleNormal="62" workbookViewId="0">
      <selection activeCell="I31" sqref="I31"/>
    </sheetView>
  </sheetViews>
  <sheetFormatPr baseColWidth="10" defaultRowHeight="15" x14ac:dyDescent="0.25"/>
  <cols>
    <col min="1" max="1" width="57.42578125" customWidth="1"/>
    <col min="8" max="8" width="35.42578125" customWidth="1"/>
    <col min="9" max="9" width="15.85546875" customWidth="1"/>
    <col min="10" max="10" width="18" customWidth="1"/>
    <col min="11" max="11" width="47.42578125" customWidth="1"/>
    <col min="12" max="12" width="38.42578125" customWidth="1"/>
    <col min="13" max="13" width="23.140625" customWidth="1"/>
  </cols>
  <sheetData>
    <row r="1" spans="1:13" ht="73.5" customHeight="1" x14ac:dyDescent="0.25">
      <c r="A1" s="1" t="s">
        <v>212</v>
      </c>
      <c r="B1" s="1"/>
      <c r="C1" s="1"/>
      <c r="D1" s="1"/>
      <c r="E1" s="1"/>
      <c r="G1" s="2" t="s">
        <v>213</v>
      </c>
      <c r="H1" s="2"/>
      <c r="I1" s="2"/>
      <c r="J1" s="2"/>
      <c r="K1" s="2"/>
      <c r="L1" s="3" t="s">
        <v>214</v>
      </c>
    </row>
    <row r="2" spans="1:13" ht="15.75" customHeight="1" x14ac:dyDescent="0.4">
      <c r="A2" s="1"/>
      <c r="B2" s="1"/>
      <c r="C2" s="1"/>
      <c r="D2" s="1"/>
      <c r="E2" s="1"/>
      <c r="G2" s="4" t="s">
        <v>215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7" t="s">
        <v>10</v>
      </c>
      <c r="H4" s="8" t="s">
        <v>216</v>
      </c>
      <c r="I4" s="9"/>
      <c r="J4" s="8"/>
      <c r="K4" s="10"/>
      <c r="L4" s="8"/>
    </row>
    <row r="5" spans="1:13" ht="30" customHeight="1" x14ac:dyDescent="0.25">
      <c r="G5" s="7" t="s">
        <v>16</v>
      </c>
      <c r="H5" s="8" t="s">
        <v>216</v>
      </c>
      <c r="I5" s="9"/>
      <c r="J5" s="8"/>
      <c r="K5" s="10"/>
      <c r="L5" s="8"/>
    </row>
    <row r="6" spans="1:13" ht="30" customHeight="1" x14ac:dyDescent="0.25">
      <c r="G6" s="7" t="s">
        <v>18</v>
      </c>
      <c r="H6" s="8" t="s">
        <v>216</v>
      </c>
      <c r="I6" s="9"/>
      <c r="J6" s="8"/>
      <c r="K6" s="10"/>
      <c r="L6" s="8"/>
    </row>
    <row r="7" spans="1:13" ht="30" customHeight="1" x14ac:dyDescent="0.25">
      <c r="G7" s="7" t="s">
        <v>19</v>
      </c>
      <c r="H7" s="8" t="s">
        <v>216</v>
      </c>
      <c r="I7" s="9"/>
      <c r="J7" s="8"/>
      <c r="K7" s="10"/>
      <c r="L7" s="8"/>
    </row>
    <row r="8" spans="1:13" ht="30" customHeight="1" x14ac:dyDescent="0.25">
      <c r="G8" s="7" t="s">
        <v>20</v>
      </c>
      <c r="H8" s="8" t="s">
        <v>216</v>
      </c>
      <c r="I8" s="9"/>
      <c r="J8" s="8"/>
      <c r="K8" s="10"/>
      <c r="L8" s="8"/>
    </row>
    <row r="9" spans="1:13" ht="30" customHeight="1" x14ac:dyDescent="0.25">
      <c r="G9" s="7" t="s">
        <v>26</v>
      </c>
      <c r="H9" s="8" t="s">
        <v>216</v>
      </c>
      <c r="I9" s="9"/>
      <c r="J9" s="8"/>
      <c r="K9" s="10"/>
      <c r="L9" s="8"/>
      <c r="M9" s="13"/>
    </row>
    <row r="10" spans="1:13" ht="30" customHeight="1" x14ac:dyDescent="0.25">
      <c r="G10" s="7" t="s">
        <v>29</v>
      </c>
      <c r="H10" s="8" t="s">
        <v>217</v>
      </c>
      <c r="I10" s="9" t="s">
        <v>218</v>
      </c>
      <c r="J10" s="8" t="s">
        <v>219</v>
      </c>
      <c r="K10" s="10" t="s">
        <v>220</v>
      </c>
      <c r="L10" s="8" t="s">
        <v>221</v>
      </c>
      <c r="M10" s="13"/>
    </row>
    <row r="11" spans="1:13" ht="30" customHeight="1" x14ac:dyDescent="0.25">
      <c r="G11" s="7" t="s">
        <v>30</v>
      </c>
      <c r="H11" s="8" t="s">
        <v>222</v>
      </c>
      <c r="I11" s="9" t="s">
        <v>17</v>
      </c>
      <c r="J11" s="8" t="s">
        <v>17</v>
      </c>
      <c r="K11" s="10" t="s">
        <v>220</v>
      </c>
      <c r="L11" s="8" t="s">
        <v>221</v>
      </c>
      <c r="M11" s="13"/>
    </row>
    <row r="12" spans="1:13" ht="30" customHeight="1" x14ac:dyDescent="0.25">
      <c r="G12" s="7" t="s">
        <v>35</v>
      </c>
      <c r="H12" s="8" t="s">
        <v>223</v>
      </c>
      <c r="I12" s="9" t="s">
        <v>224</v>
      </c>
      <c r="J12" s="8" t="s">
        <v>225</v>
      </c>
      <c r="K12" s="10" t="s">
        <v>226</v>
      </c>
      <c r="L12" s="8" t="s">
        <v>15</v>
      </c>
      <c r="M12" s="13"/>
    </row>
    <row r="13" spans="1:13" ht="30" customHeight="1" x14ac:dyDescent="0.25">
      <c r="G13" s="7" t="s">
        <v>36</v>
      </c>
      <c r="H13" s="8" t="s">
        <v>227</v>
      </c>
      <c r="I13" s="9" t="s">
        <v>228</v>
      </c>
      <c r="J13" s="8" t="s">
        <v>229</v>
      </c>
      <c r="K13" s="10" t="s">
        <v>226</v>
      </c>
      <c r="L13" s="8" t="s">
        <v>15</v>
      </c>
      <c r="M13" s="13"/>
    </row>
    <row r="14" spans="1:13" ht="30" customHeight="1" x14ac:dyDescent="0.25">
      <c r="G14" s="7" t="s">
        <v>37</v>
      </c>
      <c r="H14" s="8" t="s">
        <v>216</v>
      </c>
      <c r="I14" s="9"/>
      <c r="J14" s="8"/>
      <c r="K14" s="10"/>
      <c r="L14" s="8"/>
      <c r="M14" s="13"/>
    </row>
    <row r="15" spans="1:13" ht="30" customHeight="1" x14ac:dyDescent="0.25">
      <c r="G15" s="7" t="s">
        <v>42</v>
      </c>
      <c r="H15" s="8" t="s">
        <v>216</v>
      </c>
      <c r="I15" s="9"/>
      <c r="J15" s="8"/>
      <c r="K15" s="10"/>
      <c r="L15" s="8"/>
      <c r="M15" s="13"/>
    </row>
    <row r="16" spans="1:13" ht="30" customHeight="1" x14ac:dyDescent="0.25">
      <c r="G16" s="7" t="s">
        <v>46</v>
      </c>
      <c r="H16" s="8" t="s">
        <v>216</v>
      </c>
      <c r="I16" s="8"/>
      <c r="J16" s="8"/>
      <c r="K16" s="10"/>
      <c r="L16" s="8"/>
      <c r="M16" s="13"/>
    </row>
    <row r="17" spans="7:13" ht="30" customHeight="1" x14ac:dyDescent="0.25">
      <c r="G17" s="7" t="s">
        <v>47</v>
      </c>
      <c r="H17" s="8" t="s">
        <v>216</v>
      </c>
      <c r="I17" s="9"/>
      <c r="J17" s="8"/>
      <c r="K17" s="10"/>
      <c r="L17" s="8"/>
      <c r="M17" s="13"/>
    </row>
    <row r="18" spans="7:13" ht="30" customHeight="1" x14ac:dyDescent="0.25">
      <c r="G18" s="7" t="s">
        <v>48</v>
      </c>
      <c r="H18" s="8" t="s">
        <v>216</v>
      </c>
      <c r="I18" s="9"/>
      <c r="J18" s="8"/>
      <c r="K18" s="10"/>
      <c r="L18" s="8"/>
      <c r="M18" s="13"/>
    </row>
    <row r="19" spans="7:13" ht="30" customHeight="1" x14ac:dyDescent="0.25">
      <c r="G19" s="7" t="s">
        <v>49</v>
      </c>
      <c r="H19" s="8" t="s">
        <v>230</v>
      </c>
      <c r="I19" s="9" t="s">
        <v>231</v>
      </c>
      <c r="J19" s="8" t="s">
        <v>232</v>
      </c>
      <c r="K19" s="10" t="s">
        <v>233</v>
      </c>
      <c r="L19" s="8" t="s">
        <v>234</v>
      </c>
      <c r="M19" s="13"/>
    </row>
    <row r="20" spans="7:13" ht="30" customHeight="1" x14ac:dyDescent="0.25">
      <c r="G20" s="7" t="s">
        <v>50</v>
      </c>
      <c r="H20" s="8" t="s">
        <v>235</v>
      </c>
      <c r="I20" s="9" t="s">
        <v>236</v>
      </c>
      <c r="J20" s="8" t="s">
        <v>237</v>
      </c>
      <c r="K20" s="10" t="s">
        <v>233</v>
      </c>
      <c r="L20" s="8" t="s">
        <v>234</v>
      </c>
      <c r="M20" s="13"/>
    </row>
    <row r="21" spans="7:13" ht="30" customHeight="1" x14ac:dyDescent="0.25">
      <c r="G21" s="7" t="s">
        <v>54</v>
      </c>
      <c r="H21" s="8" t="s">
        <v>238</v>
      </c>
      <c r="I21" s="9" t="s">
        <v>239</v>
      </c>
      <c r="J21" s="8" t="s">
        <v>237</v>
      </c>
      <c r="K21" s="10" t="s">
        <v>233</v>
      </c>
      <c r="L21" s="8" t="s">
        <v>234</v>
      </c>
      <c r="M21" s="13"/>
    </row>
    <row r="22" spans="7:13" ht="30" customHeight="1" x14ac:dyDescent="0.25">
      <c r="G22" s="7" t="s">
        <v>57</v>
      </c>
      <c r="H22" s="8" t="s">
        <v>240</v>
      </c>
      <c r="I22" s="9" t="s">
        <v>241</v>
      </c>
      <c r="J22" s="8" t="s">
        <v>242</v>
      </c>
      <c r="K22" s="10" t="s">
        <v>233</v>
      </c>
      <c r="L22" s="8" t="s">
        <v>234</v>
      </c>
      <c r="M22" s="13"/>
    </row>
    <row r="23" spans="7:13" ht="30" customHeight="1" x14ac:dyDescent="0.25">
      <c r="G23" s="7" t="s">
        <v>61</v>
      </c>
      <c r="H23" s="8" t="s">
        <v>243</v>
      </c>
      <c r="I23" s="9" t="s">
        <v>244</v>
      </c>
      <c r="J23" s="8" t="s">
        <v>245</v>
      </c>
      <c r="K23" s="10" t="s">
        <v>233</v>
      </c>
      <c r="L23" s="8" t="s">
        <v>234</v>
      </c>
      <c r="M23" s="13"/>
    </row>
    <row r="24" spans="7:13" ht="30" customHeight="1" x14ac:dyDescent="0.25">
      <c r="G24" s="7" t="s">
        <v>63</v>
      </c>
      <c r="H24" s="8" t="s">
        <v>246</v>
      </c>
      <c r="I24" s="9" t="s">
        <v>247</v>
      </c>
      <c r="J24" s="8" t="s">
        <v>248</v>
      </c>
      <c r="K24" s="10" t="s">
        <v>233</v>
      </c>
      <c r="L24" s="8" t="s">
        <v>234</v>
      </c>
      <c r="M24" s="13"/>
    </row>
    <row r="25" spans="7:13" ht="30" customHeight="1" x14ac:dyDescent="0.25">
      <c r="G25" s="7" t="s">
        <v>64</v>
      </c>
      <c r="H25" s="8" t="s">
        <v>249</v>
      </c>
      <c r="I25" s="9" t="s">
        <v>250</v>
      </c>
      <c r="J25" s="8" t="s">
        <v>237</v>
      </c>
      <c r="K25" s="10" t="s">
        <v>233</v>
      </c>
      <c r="L25" s="8" t="s">
        <v>234</v>
      </c>
      <c r="M25" s="13"/>
    </row>
    <row r="26" spans="7:13" ht="30" customHeight="1" x14ac:dyDescent="0.25">
      <c r="G26" s="7" t="s">
        <v>65</v>
      </c>
      <c r="H26" s="8" t="s">
        <v>251</v>
      </c>
      <c r="I26" s="9" t="s">
        <v>252</v>
      </c>
      <c r="J26" s="8" t="s">
        <v>253</v>
      </c>
      <c r="K26" s="10" t="s">
        <v>254</v>
      </c>
      <c r="L26" s="8" t="s">
        <v>15</v>
      </c>
    </row>
    <row r="27" spans="7:13" ht="30" customHeight="1" x14ac:dyDescent="0.25">
      <c r="G27" s="7" t="s">
        <v>67</v>
      </c>
      <c r="H27" s="8" t="s">
        <v>255</v>
      </c>
      <c r="I27" s="8" t="s">
        <v>256</v>
      </c>
      <c r="J27" s="8" t="s">
        <v>257</v>
      </c>
      <c r="K27" s="10" t="s">
        <v>254</v>
      </c>
      <c r="L27" s="8" t="s">
        <v>15</v>
      </c>
    </row>
    <row r="28" spans="7:13" ht="30" customHeight="1" x14ac:dyDescent="0.25">
      <c r="G28" s="7" t="s">
        <v>68</v>
      </c>
      <c r="H28" s="8" t="s">
        <v>216</v>
      </c>
      <c r="I28" s="8"/>
      <c r="J28" s="8"/>
      <c r="K28" s="10"/>
      <c r="L28" s="8"/>
    </row>
    <row r="29" spans="7:13" ht="30" customHeight="1" x14ac:dyDescent="0.25">
      <c r="G29" s="7" t="s">
        <v>69</v>
      </c>
      <c r="H29" s="8" t="s">
        <v>216</v>
      </c>
      <c r="I29" s="8"/>
      <c r="J29" s="8"/>
      <c r="K29" s="10"/>
      <c r="L29" s="8"/>
    </row>
    <row r="30" spans="7:13" ht="30" customHeight="1" x14ac:dyDescent="0.25">
      <c r="G30" s="7" t="s">
        <v>70</v>
      </c>
      <c r="H30" s="8" t="s">
        <v>216</v>
      </c>
      <c r="I30" s="9"/>
      <c r="J30" s="8"/>
      <c r="K30" s="10"/>
      <c r="L30" s="8"/>
    </row>
    <row r="31" spans="7:13" ht="30" customHeight="1" x14ac:dyDescent="0.25">
      <c r="G31" s="7" t="s">
        <v>71</v>
      </c>
      <c r="H31" s="8" t="s">
        <v>216</v>
      </c>
      <c r="I31" s="8"/>
      <c r="J31" s="8"/>
      <c r="K31" s="10"/>
      <c r="L31" s="8"/>
    </row>
    <row r="32" spans="7:13" ht="30" customHeight="1" x14ac:dyDescent="0.25">
      <c r="G32" s="7" t="s">
        <v>72</v>
      </c>
      <c r="H32" s="8" t="s">
        <v>216</v>
      </c>
      <c r="I32" s="9"/>
      <c r="J32" s="8"/>
      <c r="K32" s="10"/>
      <c r="L32" s="8"/>
    </row>
    <row r="33" spans="7:12" ht="30" customHeight="1" x14ac:dyDescent="0.25">
      <c r="G33" s="7" t="s">
        <v>73</v>
      </c>
      <c r="H33" s="8" t="s">
        <v>216</v>
      </c>
      <c r="I33" s="9"/>
      <c r="J33" s="8"/>
      <c r="K33" s="10"/>
      <c r="L33" s="8"/>
    </row>
    <row r="34" spans="7:12" ht="30" customHeight="1" x14ac:dyDescent="0.25">
      <c r="G34" s="7" t="s">
        <v>74</v>
      </c>
      <c r="H34" s="8" t="s">
        <v>216</v>
      </c>
      <c r="I34" s="9"/>
      <c r="J34" s="8"/>
      <c r="K34" s="10"/>
      <c r="L34" s="8"/>
    </row>
  </sheetData>
  <mergeCells count="3">
    <mergeCell ref="A1:E4"/>
    <mergeCell ref="G1:K1"/>
    <mergeCell ref="G2:K2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J154"/>
  <sheetViews>
    <sheetView topLeftCell="A19" zoomScale="73" zoomScaleNormal="73" workbookViewId="0">
      <selection activeCell="F21" sqref="F21"/>
    </sheetView>
  </sheetViews>
  <sheetFormatPr baseColWidth="10" defaultRowHeight="15" x14ac:dyDescent="0.25"/>
  <cols>
    <col min="2" max="2" width="34" customWidth="1"/>
    <col min="3" max="3" width="16.140625" customWidth="1"/>
    <col min="4" max="4" width="15.42578125" customWidth="1"/>
    <col min="5" max="5" width="17.85546875" customWidth="1"/>
    <col min="6" max="6" width="23.28515625" customWidth="1"/>
    <col min="7" max="7" width="23" style="37" customWidth="1"/>
  </cols>
  <sheetData>
    <row r="1" spans="1:8" ht="38.25" customHeight="1" x14ac:dyDescent="0.3">
      <c r="A1" s="14" t="s">
        <v>258</v>
      </c>
      <c r="B1" s="14"/>
      <c r="C1" s="14"/>
      <c r="D1" s="14"/>
      <c r="E1" s="14"/>
      <c r="F1" s="14"/>
    </row>
    <row r="3" spans="1:8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9</v>
      </c>
      <c r="G3" s="38"/>
      <c r="H3" s="17"/>
    </row>
    <row r="4" spans="1:8" ht="20.100000000000001" customHeight="1" x14ac:dyDescent="0.25">
      <c r="A4" s="8" t="s">
        <v>10</v>
      </c>
      <c r="B4" s="18" t="str">
        <f>'[1]VARADERO (08-08)'!H4</f>
        <v>NAGUARA TOURS</v>
      </c>
      <c r="C4" s="19"/>
      <c r="D4" s="19"/>
      <c r="E4" s="20">
        <f t="shared" ref="E4:E34" si="0">C4-D4</f>
        <v>0</v>
      </c>
      <c r="F4" s="21"/>
    </row>
    <row r="5" spans="1:8" ht="20.100000000000001" customHeight="1" x14ac:dyDescent="0.25">
      <c r="A5" s="8" t="s">
        <v>16</v>
      </c>
      <c r="B5" s="18" t="str">
        <f>'[1]VARADERO (08-08)'!H5</f>
        <v>NAGUARA TOURS</v>
      </c>
      <c r="C5" s="19"/>
      <c r="D5" s="19"/>
      <c r="E5" s="20">
        <f t="shared" si="0"/>
        <v>0</v>
      </c>
      <c r="F5" s="21"/>
    </row>
    <row r="6" spans="1:8" ht="20.100000000000001" customHeight="1" x14ac:dyDescent="0.25">
      <c r="A6" s="8" t="s">
        <v>18</v>
      </c>
      <c r="B6" s="18" t="str">
        <f>'[1]VARADERO (08-08)'!H6</f>
        <v>NAGUARA TOURS</v>
      </c>
      <c r="C6" s="19"/>
      <c r="D6" s="19"/>
      <c r="E6" s="20">
        <f t="shared" si="0"/>
        <v>0</v>
      </c>
      <c r="F6" s="21"/>
    </row>
    <row r="7" spans="1:8" ht="20.100000000000001" customHeight="1" x14ac:dyDescent="0.25">
      <c r="A7" s="8" t="s">
        <v>19</v>
      </c>
      <c r="B7" s="18" t="str">
        <f>'[1]VARADERO (08-08)'!H7</f>
        <v>NAGUARA TOURS</v>
      </c>
      <c r="C7" s="19"/>
      <c r="D7" s="19"/>
      <c r="E7" s="20">
        <f t="shared" si="0"/>
        <v>0</v>
      </c>
      <c r="F7" s="21"/>
    </row>
    <row r="8" spans="1:8" ht="20.100000000000001" customHeight="1" x14ac:dyDescent="0.25">
      <c r="A8" s="8" t="s">
        <v>20</v>
      </c>
      <c r="B8" s="18" t="str">
        <f>'[1]VARADERO (08-08)'!H8</f>
        <v>NAGUARA TOURS</v>
      </c>
      <c r="C8" s="19"/>
      <c r="D8" s="19"/>
      <c r="E8" s="20">
        <f t="shared" si="0"/>
        <v>0</v>
      </c>
      <c r="F8" s="21"/>
    </row>
    <row r="9" spans="1:8" ht="20.100000000000001" customHeight="1" x14ac:dyDescent="0.25">
      <c r="A9" s="8" t="s">
        <v>26</v>
      </c>
      <c r="B9" s="18" t="str">
        <f>'[1]VARADERO (08-08)'!H9</f>
        <v>NAGUARA TOURS</v>
      </c>
      <c r="C9" s="19"/>
      <c r="D9" s="19"/>
      <c r="E9" s="20">
        <f t="shared" si="0"/>
        <v>0</v>
      </c>
      <c r="F9" s="21"/>
    </row>
    <row r="10" spans="1:8" ht="20.100000000000001" customHeight="1" x14ac:dyDescent="0.25">
      <c r="A10" s="8" t="s">
        <v>29</v>
      </c>
      <c r="B10" s="18" t="str">
        <f>'[1]VARADERO (08-08)'!H10</f>
        <v>GABRIEL MARCHAN</v>
      </c>
      <c r="C10" s="19">
        <v>25</v>
      </c>
      <c r="D10" s="19">
        <v>25</v>
      </c>
      <c r="E10" s="20">
        <f t="shared" si="0"/>
        <v>0</v>
      </c>
      <c r="F10" s="21"/>
    </row>
    <row r="11" spans="1:8" ht="20.100000000000001" customHeight="1" x14ac:dyDescent="0.25">
      <c r="A11" s="8" t="s">
        <v>30</v>
      </c>
      <c r="B11" s="18" t="str">
        <f>'[1]VARADERO (08-08)'!H11</f>
        <v>MARIED RODRIGUEZ</v>
      </c>
      <c r="C11" s="19">
        <v>25</v>
      </c>
      <c r="D11" s="19">
        <v>25</v>
      </c>
      <c r="E11" s="20">
        <f t="shared" si="0"/>
        <v>0</v>
      </c>
      <c r="F11" s="21"/>
    </row>
    <row r="12" spans="1:8" ht="20.100000000000001" customHeight="1" x14ac:dyDescent="0.25">
      <c r="A12" s="8" t="s">
        <v>35</v>
      </c>
      <c r="B12" s="18" t="str">
        <f>'[1]VARADERO (08-08)'!H12</f>
        <v>KENDRY PAEZ</v>
      </c>
      <c r="C12" s="19">
        <v>25</v>
      </c>
      <c r="D12" s="19">
        <v>25</v>
      </c>
      <c r="E12" s="20">
        <f t="shared" si="0"/>
        <v>0</v>
      </c>
      <c r="F12" s="33" t="s">
        <v>259</v>
      </c>
    </row>
    <row r="13" spans="1:8" ht="20.100000000000001" customHeight="1" x14ac:dyDescent="0.25">
      <c r="A13" s="8" t="s">
        <v>36</v>
      </c>
      <c r="B13" s="18" t="str">
        <f>'[1]VARADERO (08-08)'!H13</f>
        <v>YOSELYN COLMENARES</v>
      </c>
      <c r="C13" s="19">
        <v>25</v>
      </c>
      <c r="D13" s="19">
        <v>25</v>
      </c>
      <c r="E13" s="20">
        <f t="shared" si="0"/>
        <v>0</v>
      </c>
      <c r="F13" s="33" t="s">
        <v>259</v>
      </c>
    </row>
    <row r="14" spans="1:8" ht="20.100000000000001" customHeight="1" x14ac:dyDescent="0.25">
      <c r="A14" s="8" t="s">
        <v>37</v>
      </c>
      <c r="B14" s="18" t="str">
        <f>'[1]VARADERO (08-08)'!H14</f>
        <v>NAGUARA TOURS</v>
      </c>
      <c r="C14" s="19"/>
      <c r="D14" s="19"/>
      <c r="E14" s="20">
        <f t="shared" si="0"/>
        <v>0</v>
      </c>
      <c r="F14" s="21"/>
    </row>
    <row r="15" spans="1:8" ht="20.100000000000001" customHeight="1" x14ac:dyDescent="0.25">
      <c r="A15" s="8" t="s">
        <v>42</v>
      </c>
      <c r="B15" s="18" t="str">
        <f>'[1]VARADERO (08-08)'!H15</f>
        <v>NAGUARA TOURS</v>
      </c>
      <c r="C15" s="19"/>
      <c r="D15" s="19"/>
      <c r="E15" s="20">
        <f t="shared" si="0"/>
        <v>0</v>
      </c>
      <c r="F15" s="21"/>
    </row>
    <row r="16" spans="1:8" ht="20.100000000000001" customHeight="1" x14ac:dyDescent="0.25">
      <c r="A16" s="8" t="s">
        <v>46</v>
      </c>
      <c r="B16" s="18" t="str">
        <f>'[1]VARADERO (08-08)'!H16</f>
        <v>NAGUARA TOURS</v>
      </c>
      <c r="C16" s="19"/>
      <c r="D16" s="19"/>
      <c r="E16" s="20">
        <f t="shared" si="0"/>
        <v>0</v>
      </c>
      <c r="F16" s="21"/>
    </row>
    <row r="17" spans="1:6" ht="20.100000000000001" customHeight="1" x14ac:dyDescent="0.25">
      <c r="A17" s="8" t="s">
        <v>47</v>
      </c>
      <c r="B17" s="18" t="str">
        <f>'[1]VARADERO (08-08)'!H17</f>
        <v>NAGUARA TOURS</v>
      </c>
      <c r="C17" s="19"/>
      <c r="D17" s="19"/>
      <c r="E17" s="20">
        <f t="shared" si="0"/>
        <v>0</v>
      </c>
      <c r="F17" s="21"/>
    </row>
    <row r="18" spans="1:6" ht="20.100000000000001" customHeight="1" x14ac:dyDescent="0.25">
      <c r="A18" s="8" t="s">
        <v>48</v>
      </c>
      <c r="B18" s="18" t="str">
        <f>'[1]VARADERO (08-08)'!H18</f>
        <v>NAGUARA TOURS</v>
      </c>
      <c r="C18" s="19"/>
      <c r="D18" s="19"/>
      <c r="E18" s="20">
        <f t="shared" si="0"/>
        <v>0</v>
      </c>
      <c r="F18" s="21"/>
    </row>
    <row r="19" spans="1:6" ht="20.100000000000001" customHeight="1" x14ac:dyDescent="0.25">
      <c r="A19" s="8" t="s">
        <v>49</v>
      </c>
      <c r="B19" s="18" t="str">
        <f>'[1]VARADERO (08-08)'!H19</f>
        <v>MARIA ARRIECHE</v>
      </c>
      <c r="C19" s="19">
        <v>24</v>
      </c>
      <c r="D19" s="19">
        <v>24</v>
      </c>
      <c r="E19" s="20">
        <f t="shared" si="0"/>
        <v>0</v>
      </c>
      <c r="F19" s="21"/>
    </row>
    <row r="20" spans="1:6" ht="20.100000000000001" customHeight="1" x14ac:dyDescent="0.25">
      <c r="A20" s="8" t="s">
        <v>50</v>
      </c>
      <c r="B20" s="18" t="str">
        <f>'[1]VARADERO (08-08)'!H20</f>
        <v>VICTORIA ARRIECHE</v>
      </c>
      <c r="C20" s="19">
        <v>24</v>
      </c>
      <c r="D20" s="19">
        <v>24</v>
      </c>
      <c r="E20" s="20">
        <f t="shared" si="0"/>
        <v>0</v>
      </c>
      <c r="F20" s="21"/>
    </row>
    <row r="21" spans="1:6" ht="20.100000000000001" customHeight="1" x14ac:dyDescent="0.25">
      <c r="A21" s="8" t="s">
        <v>54</v>
      </c>
      <c r="B21" s="18" t="str">
        <f>'[1]VARADERO (08-08)'!H21</f>
        <v>MIRANDA ARRIECHE</v>
      </c>
      <c r="C21" s="19">
        <v>24</v>
      </c>
      <c r="D21" s="19">
        <v>24</v>
      </c>
      <c r="E21" s="20">
        <f t="shared" si="0"/>
        <v>0</v>
      </c>
      <c r="F21" s="21"/>
    </row>
    <row r="22" spans="1:6" ht="20.100000000000001" customHeight="1" x14ac:dyDescent="0.25">
      <c r="A22" s="8" t="s">
        <v>57</v>
      </c>
      <c r="B22" s="18" t="str">
        <f>'[1]VARADERO (08-08)'!H22</f>
        <v>ODALYS BECERRA</v>
      </c>
      <c r="C22" s="19">
        <v>24</v>
      </c>
      <c r="D22" s="19">
        <v>24</v>
      </c>
      <c r="E22" s="20">
        <f t="shared" si="0"/>
        <v>0</v>
      </c>
      <c r="F22" s="21"/>
    </row>
    <row r="23" spans="1:6" ht="20.100000000000001" customHeight="1" x14ac:dyDescent="0.25">
      <c r="A23" s="8" t="s">
        <v>61</v>
      </c>
      <c r="B23" s="18" t="str">
        <f>'[1]VARADERO (08-08)'!H23</f>
        <v>JOSE RODRIGUEZ</v>
      </c>
      <c r="C23" s="19">
        <v>24</v>
      </c>
      <c r="D23" s="19">
        <v>24</v>
      </c>
      <c r="E23" s="20">
        <f t="shared" si="0"/>
        <v>0</v>
      </c>
      <c r="F23" s="21"/>
    </row>
    <row r="24" spans="1:6" ht="20.100000000000001" customHeight="1" x14ac:dyDescent="0.25">
      <c r="A24" s="8" t="s">
        <v>63</v>
      </c>
      <c r="B24" s="18" t="str">
        <f>'[1]VARADERO (08-08)'!H24</f>
        <v>MARILYS MUJICA</v>
      </c>
      <c r="C24" s="19">
        <v>24</v>
      </c>
      <c r="D24" s="19">
        <v>24</v>
      </c>
      <c r="E24" s="20">
        <f t="shared" si="0"/>
        <v>0</v>
      </c>
      <c r="F24" s="21"/>
    </row>
    <row r="25" spans="1:6" ht="20.100000000000001" customHeight="1" x14ac:dyDescent="0.25">
      <c r="A25" s="8" t="s">
        <v>64</v>
      </c>
      <c r="B25" s="18" t="str">
        <f>'[1]VARADERO (08-08)'!H25</f>
        <v>FIORELLA RODRIGUEZ</v>
      </c>
      <c r="C25" s="19">
        <v>24</v>
      </c>
      <c r="D25" s="19">
        <v>24</v>
      </c>
      <c r="E25" s="20">
        <f t="shared" si="0"/>
        <v>0</v>
      </c>
      <c r="F25" s="21"/>
    </row>
    <row r="26" spans="1:6" ht="20.100000000000001" customHeight="1" x14ac:dyDescent="0.25">
      <c r="A26" s="8" t="s">
        <v>65</v>
      </c>
      <c r="B26" s="18" t="str">
        <f>'[1]VARADERO (08-08)'!H26</f>
        <v>OSMARLYN COLMENAREZ</v>
      </c>
      <c r="C26" s="19">
        <v>25</v>
      </c>
      <c r="D26" s="19">
        <v>25</v>
      </c>
      <c r="E26" s="20">
        <f t="shared" si="0"/>
        <v>0</v>
      </c>
      <c r="F26" s="21"/>
    </row>
    <row r="27" spans="1:6" ht="20.100000000000001" customHeight="1" x14ac:dyDescent="0.25">
      <c r="A27" s="8" t="s">
        <v>67</v>
      </c>
      <c r="B27" s="18" t="str">
        <f>'[1]VARADERO (08-08)'!H27</f>
        <v>MANUEL PEREZ</v>
      </c>
      <c r="C27" s="19">
        <v>25</v>
      </c>
      <c r="D27" s="19">
        <v>25</v>
      </c>
      <c r="E27" s="20">
        <f t="shared" si="0"/>
        <v>0</v>
      </c>
      <c r="F27" s="21"/>
    </row>
    <row r="28" spans="1:6" ht="20.100000000000001" customHeight="1" x14ac:dyDescent="0.25">
      <c r="A28" s="8" t="s">
        <v>68</v>
      </c>
      <c r="B28" s="18" t="str">
        <f>'[1]VARADERO (08-08)'!H28</f>
        <v>NAGUARA TOURS</v>
      </c>
      <c r="C28" s="19"/>
      <c r="D28" s="19"/>
      <c r="E28" s="20">
        <f t="shared" si="0"/>
        <v>0</v>
      </c>
      <c r="F28" s="21"/>
    </row>
    <row r="29" spans="1:6" ht="20.100000000000001" customHeight="1" x14ac:dyDescent="0.25">
      <c r="A29" s="8" t="s">
        <v>69</v>
      </c>
      <c r="B29" s="18" t="str">
        <f>'[1]VARADERO (08-08)'!H29</f>
        <v>NAGUARA TOURS</v>
      </c>
      <c r="C29" s="19"/>
      <c r="D29" s="19"/>
      <c r="E29" s="20">
        <f t="shared" si="0"/>
        <v>0</v>
      </c>
      <c r="F29" s="21"/>
    </row>
    <row r="30" spans="1:6" ht="20.100000000000001" customHeight="1" x14ac:dyDescent="0.25">
      <c r="A30" s="8" t="s">
        <v>70</v>
      </c>
      <c r="B30" s="18" t="str">
        <f>'[1]VARADERO (08-08)'!H30</f>
        <v>NAGUARA TOURS</v>
      </c>
      <c r="C30" s="19"/>
      <c r="D30" s="19"/>
      <c r="E30" s="20">
        <f t="shared" si="0"/>
        <v>0</v>
      </c>
      <c r="F30" s="21"/>
    </row>
    <row r="31" spans="1:6" ht="20.100000000000001" customHeight="1" x14ac:dyDescent="0.25">
      <c r="A31" s="8" t="s">
        <v>71</v>
      </c>
      <c r="B31" s="18" t="str">
        <f>'[1]VARADERO (08-08)'!H31</f>
        <v>NAGUARA TOURS</v>
      </c>
      <c r="C31" s="19"/>
      <c r="D31" s="19"/>
      <c r="E31" s="20">
        <f t="shared" si="0"/>
        <v>0</v>
      </c>
      <c r="F31" s="21"/>
    </row>
    <row r="32" spans="1:6" ht="20.100000000000001" customHeight="1" x14ac:dyDescent="0.25">
      <c r="A32" s="8" t="s">
        <v>72</v>
      </c>
      <c r="B32" s="18" t="str">
        <f>'[1]VARADERO (08-08)'!H32</f>
        <v>NAGUARA TOURS</v>
      </c>
      <c r="C32" s="19"/>
      <c r="D32" s="19"/>
      <c r="E32" s="20">
        <f t="shared" si="0"/>
        <v>0</v>
      </c>
      <c r="F32" s="21"/>
    </row>
    <row r="33" spans="1:7" ht="20.100000000000001" customHeight="1" x14ac:dyDescent="0.25">
      <c r="A33" s="8" t="s">
        <v>73</v>
      </c>
      <c r="B33" s="18" t="str">
        <f>'[1]VARADERO (08-08)'!H33</f>
        <v>NAGUARA TOURS</v>
      </c>
      <c r="C33" s="19"/>
      <c r="D33" s="19"/>
      <c r="E33" s="20">
        <f t="shared" si="0"/>
        <v>0</v>
      </c>
      <c r="F33" s="21"/>
    </row>
    <row r="34" spans="1:7" ht="20.100000000000001" customHeight="1" x14ac:dyDescent="0.25">
      <c r="A34" s="8" t="s">
        <v>74</v>
      </c>
      <c r="B34" s="18" t="str">
        <f>'[1]VARADERO (08-08)'!H34</f>
        <v>NAGUARA TOURS</v>
      </c>
      <c r="C34" s="19"/>
      <c r="D34" s="19"/>
      <c r="E34" s="20">
        <f t="shared" si="0"/>
        <v>0</v>
      </c>
      <c r="F34" s="21"/>
    </row>
    <row r="35" spans="1:7" ht="20.100000000000001" customHeight="1" x14ac:dyDescent="0.25"/>
    <row r="36" spans="1:7" ht="20.100000000000001" customHeight="1" x14ac:dyDescent="0.25">
      <c r="B36" s="15" t="s">
        <v>79</v>
      </c>
      <c r="C36" s="22">
        <f>SUM(C4:C34)</f>
        <v>318</v>
      </c>
      <c r="D36" s="22">
        <f>SUM(D4:D34)</f>
        <v>318</v>
      </c>
      <c r="E36" s="22">
        <f>SUM(E4:E34)</f>
        <v>0</v>
      </c>
      <c r="F36" s="22">
        <f>SUM(F4:F34)</f>
        <v>0</v>
      </c>
    </row>
    <row r="48" spans="1:7" ht="29.25" customHeight="1" x14ac:dyDescent="0.45">
      <c r="A48" s="23" t="s">
        <v>80</v>
      </c>
      <c r="B48" s="23"/>
      <c r="C48" s="23"/>
      <c r="D48" s="23"/>
      <c r="E48" s="23"/>
      <c r="F48" s="23"/>
      <c r="G48" s="23"/>
    </row>
    <row r="49" spans="1:10" ht="30" customHeight="1" thickBot="1" x14ac:dyDescent="0.3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39" t="s">
        <v>85</v>
      </c>
    </row>
    <row r="50" spans="1:10" ht="20.100000000000001" customHeight="1" x14ac:dyDescent="0.25">
      <c r="A50" s="25" t="s">
        <v>35</v>
      </c>
      <c r="B50" s="26" t="s">
        <v>260</v>
      </c>
      <c r="C50" s="27">
        <v>17179.650000000001</v>
      </c>
      <c r="D50" s="26">
        <v>858.98</v>
      </c>
      <c r="E50" s="26">
        <v>20</v>
      </c>
      <c r="F50" s="26" t="s">
        <v>261</v>
      </c>
      <c r="G50" s="36">
        <v>46235</v>
      </c>
      <c r="H50" s="40" t="s">
        <v>262</v>
      </c>
      <c r="I50" s="41"/>
      <c r="J50" s="42"/>
    </row>
    <row r="51" spans="1:10" ht="20.100000000000001" customHeight="1" thickBot="1" x14ac:dyDescent="0.3">
      <c r="A51" s="25" t="s">
        <v>36</v>
      </c>
      <c r="B51" s="26" t="s">
        <v>260</v>
      </c>
      <c r="C51" s="27">
        <v>36541.870000000003</v>
      </c>
      <c r="D51" s="26">
        <v>870.04</v>
      </c>
      <c r="E51" s="26">
        <v>42</v>
      </c>
      <c r="F51" s="26" t="s">
        <v>263</v>
      </c>
      <c r="G51" s="36">
        <v>46239</v>
      </c>
      <c r="H51" s="43"/>
      <c r="I51" s="44"/>
      <c r="J51" s="45"/>
    </row>
    <row r="52" spans="1:10" ht="20.100000000000001" customHeight="1" x14ac:dyDescent="0.25">
      <c r="A52" s="32"/>
      <c r="B52" s="32"/>
      <c r="C52" s="32"/>
      <c r="D52" s="32"/>
      <c r="E52" s="32"/>
      <c r="F52" s="32"/>
      <c r="G52" s="46"/>
      <c r="H52" s="32"/>
      <c r="I52" s="32"/>
      <c r="J52" s="32"/>
    </row>
    <row r="53" spans="1:10" ht="20.100000000000001" customHeight="1" x14ac:dyDescent="0.25">
      <c r="A53" s="32"/>
      <c r="B53" s="32"/>
      <c r="C53" s="32"/>
      <c r="D53" s="32"/>
      <c r="E53" s="32"/>
      <c r="F53" s="32"/>
      <c r="G53" s="46"/>
      <c r="H53" s="32"/>
      <c r="I53" s="32"/>
      <c r="J53" s="32"/>
    </row>
    <row r="54" spans="1:10" ht="20.100000000000001" customHeight="1" x14ac:dyDescent="0.25">
      <c r="A54" s="30"/>
      <c r="B54" s="30"/>
      <c r="C54" s="30"/>
      <c r="D54" s="30"/>
      <c r="E54" s="30"/>
      <c r="F54" s="30"/>
      <c r="G54" s="47"/>
      <c r="H54" s="30"/>
      <c r="I54" s="30"/>
      <c r="J54" s="30"/>
    </row>
    <row r="55" spans="1:10" ht="20.100000000000001" customHeight="1" x14ac:dyDescent="0.25">
      <c r="A55" s="25" t="s">
        <v>65</v>
      </c>
      <c r="B55" s="26" t="s">
        <v>255</v>
      </c>
      <c r="C55" s="27">
        <v>42950</v>
      </c>
      <c r="D55" s="26">
        <v>858.98</v>
      </c>
      <c r="E55" s="26">
        <v>50</v>
      </c>
      <c r="F55" s="26" t="s">
        <v>264</v>
      </c>
      <c r="G55" s="28">
        <v>46235</v>
      </c>
      <c r="H55" s="30"/>
      <c r="I55" s="30"/>
      <c r="J55" s="30"/>
    </row>
    <row r="56" spans="1:10" ht="20.100000000000001" customHeight="1" x14ac:dyDescent="0.25">
      <c r="A56" s="25" t="s">
        <v>67</v>
      </c>
      <c r="B56" s="26" t="s">
        <v>255</v>
      </c>
      <c r="C56" s="27"/>
      <c r="D56" s="26"/>
      <c r="E56" s="26"/>
      <c r="F56" s="26"/>
      <c r="G56" s="28"/>
      <c r="H56" s="30"/>
      <c r="I56" s="30"/>
      <c r="J56" s="30"/>
    </row>
    <row r="57" spans="1:10" ht="20.100000000000001" customHeight="1" x14ac:dyDescent="0.25">
      <c r="A57" s="30"/>
      <c r="B57" s="30"/>
      <c r="C57" s="30"/>
      <c r="D57" s="30"/>
      <c r="E57" s="30"/>
      <c r="F57" s="30"/>
      <c r="G57" s="47"/>
      <c r="H57" s="30"/>
      <c r="I57" s="30"/>
      <c r="J57" s="30"/>
    </row>
    <row r="58" spans="1:10" ht="20.100000000000001" customHeight="1" x14ac:dyDescent="0.25">
      <c r="A58" s="30"/>
      <c r="B58" s="30"/>
      <c r="C58" s="30"/>
      <c r="D58" s="30"/>
      <c r="E58" s="30"/>
      <c r="F58" s="30"/>
      <c r="G58" s="47"/>
      <c r="H58" s="30"/>
      <c r="I58" s="30"/>
      <c r="J58" s="30"/>
    </row>
    <row r="59" spans="1:10" ht="20.100000000000001" customHeight="1" x14ac:dyDescent="0.25"/>
    <row r="60" spans="1:10" ht="20.100000000000001" customHeight="1" x14ac:dyDescent="0.25">
      <c r="A60" s="25" t="s">
        <v>49</v>
      </c>
      <c r="B60" s="26" t="s">
        <v>265</v>
      </c>
      <c r="C60" s="27">
        <v>30451.56</v>
      </c>
      <c r="D60" s="26">
        <v>870.04</v>
      </c>
      <c r="E60" s="26">
        <v>35</v>
      </c>
      <c r="F60" s="26" t="s">
        <v>266</v>
      </c>
      <c r="G60" s="28">
        <v>46239</v>
      </c>
      <c r="H60" s="30"/>
      <c r="I60" s="30"/>
      <c r="J60" s="30"/>
    </row>
    <row r="61" spans="1:10" ht="20.100000000000001" customHeight="1" x14ac:dyDescent="0.25">
      <c r="A61" s="25" t="s">
        <v>50</v>
      </c>
      <c r="B61" s="26" t="s">
        <v>265</v>
      </c>
      <c r="C61" s="27">
        <v>41761.919999999998</v>
      </c>
      <c r="D61" s="26">
        <v>870.04</v>
      </c>
      <c r="E61" s="26">
        <f>C61/D61</f>
        <v>48</v>
      </c>
      <c r="F61" s="26" t="s">
        <v>267</v>
      </c>
      <c r="G61" s="28">
        <v>46239</v>
      </c>
      <c r="H61" s="30"/>
      <c r="I61" s="30"/>
      <c r="J61" s="30"/>
    </row>
    <row r="62" spans="1:10" ht="20.100000000000001" customHeight="1" x14ac:dyDescent="0.25">
      <c r="A62" s="25" t="s">
        <v>54</v>
      </c>
      <c r="B62" s="26" t="s">
        <v>265</v>
      </c>
      <c r="C62" s="27">
        <v>53243.11</v>
      </c>
      <c r="D62" s="26">
        <v>872.84</v>
      </c>
      <c r="E62" s="26">
        <v>61</v>
      </c>
      <c r="F62" s="26" t="s">
        <v>268</v>
      </c>
      <c r="G62" s="28">
        <v>46240</v>
      </c>
      <c r="H62" s="32"/>
      <c r="I62" s="32"/>
      <c r="J62" s="32"/>
    </row>
    <row r="63" spans="1:10" ht="20.100000000000001" customHeight="1" x14ac:dyDescent="0.25">
      <c r="A63" s="25" t="s">
        <v>57</v>
      </c>
      <c r="B63" s="26" t="s">
        <v>265</v>
      </c>
      <c r="C63" s="27">
        <v>20948.16</v>
      </c>
      <c r="D63" s="26">
        <v>872.84</v>
      </c>
      <c r="E63" s="26">
        <f>C63/D63</f>
        <v>24</v>
      </c>
      <c r="F63" s="26" t="s">
        <v>269</v>
      </c>
      <c r="G63" s="28">
        <v>46240</v>
      </c>
      <c r="H63" s="32"/>
      <c r="I63" s="32"/>
      <c r="J63" s="32"/>
    </row>
    <row r="64" spans="1:10" ht="20.100000000000001" customHeight="1" x14ac:dyDescent="0.25">
      <c r="A64" s="25" t="s">
        <v>61</v>
      </c>
      <c r="B64" s="26" t="s">
        <v>265</v>
      </c>
      <c r="C64" s="27"/>
      <c r="D64" s="26"/>
      <c r="E64" s="26"/>
      <c r="F64" s="26"/>
      <c r="G64" s="28"/>
      <c r="H64" s="30"/>
      <c r="I64" s="30"/>
      <c r="J64" s="30"/>
    </row>
    <row r="65" spans="1:10" ht="20.100000000000001" customHeight="1" x14ac:dyDescent="0.25">
      <c r="A65" s="25" t="s">
        <v>63</v>
      </c>
      <c r="B65" s="26" t="s">
        <v>265</v>
      </c>
      <c r="C65" s="27"/>
      <c r="D65" s="26"/>
      <c r="E65" s="26"/>
      <c r="F65" s="26"/>
      <c r="G65" s="28"/>
      <c r="H65" s="30"/>
      <c r="I65" s="30"/>
      <c r="J65" s="30"/>
    </row>
    <row r="66" spans="1:10" ht="20.100000000000001" customHeight="1" x14ac:dyDescent="0.25">
      <c r="A66" s="25" t="s">
        <v>64</v>
      </c>
      <c r="B66" s="26" t="s">
        <v>265</v>
      </c>
      <c r="C66" s="27"/>
      <c r="D66" s="26"/>
      <c r="E66" s="26"/>
      <c r="F66" s="26"/>
      <c r="G66" s="28"/>
      <c r="H66" s="30"/>
      <c r="I66" s="30"/>
      <c r="J66" s="30"/>
    </row>
    <row r="67" spans="1:10" ht="20.100000000000001" customHeight="1" x14ac:dyDescent="0.25">
      <c r="A67" s="30"/>
      <c r="B67" s="30"/>
      <c r="C67" s="30"/>
      <c r="D67" s="30"/>
      <c r="E67" s="30"/>
      <c r="F67" s="30"/>
      <c r="G67" s="47"/>
      <c r="H67" s="30"/>
      <c r="I67" s="30"/>
      <c r="J67" s="30"/>
    </row>
    <row r="68" spans="1:10" ht="20.100000000000001" customHeight="1" x14ac:dyDescent="0.25"/>
    <row r="69" spans="1:10" ht="20.100000000000001" customHeight="1" x14ac:dyDescent="0.25"/>
    <row r="70" spans="1:10" ht="20.100000000000001" customHeight="1" x14ac:dyDescent="0.25">
      <c r="A70" s="25" t="s">
        <v>29</v>
      </c>
      <c r="B70" s="26" t="s">
        <v>222</v>
      </c>
      <c r="C70" s="27">
        <v>43502.23</v>
      </c>
      <c r="D70" s="26">
        <v>870.04</v>
      </c>
      <c r="E70" s="26">
        <v>50</v>
      </c>
      <c r="F70" s="26" t="s">
        <v>270</v>
      </c>
      <c r="G70" s="28">
        <v>46239</v>
      </c>
    </row>
    <row r="71" spans="1:10" ht="20.100000000000001" customHeight="1" x14ac:dyDescent="0.25">
      <c r="A71" s="25" t="s">
        <v>30</v>
      </c>
      <c r="B71" s="26" t="s">
        <v>222</v>
      </c>
      <c r="C71" s="27"/>
      <c r="D71" s="26"/>
      <c r="E71" s="26"/>
      <c r="F71" s="26"/>
      <c r="G71" s="28"/>
    </row>
    <row r="72" spans="1:10" ht="20.100000000000001" customHeight="1" x14ac:dyDescent="0.25"/>
    <row r="73" spans="1:10" ht="20.100000000000001" customHeight="1" x14ac:dyDescent="0.25"/>
    <row r="74" spans="1:10" ht="20.100000000000001" customHeight="1" x14ac:dyDescent="0.25"/>
    <row r="75" spans="1:10" ht="20.100000000000001" customHeight="1" x14ac:dyDescent="0.25">
      <c r="A75" s="25" t="s">
        <v>10</v>
      </c>
      <c r="B75" s="26" t="s">
        <v>216</v>
      </c>
      <c r="C75" s="27"/>
      <c r="D75" s="26"/>
      <c r="E75" s="26"/>
      <c r="F75" s="26"/>
      <c r="G75" s="28"/>
    </row>
    <row r="76" spans="1:10" ht="20.100000000000001" customHeight="1" x14ac:dyDescent="0.25">
      <c r="A76" s="25" t="s">
        <v>16</v>
      </c>
      <c r="B76" s="26" t="s">
        <v>216</v>
      </c>
      <c r="C76" s="27"/>
      <c r="D76" s="26"/>
      <c r="E76" s="26"/>
      <c r="F76" s="26"/>
      <c r="G76" s="28"/>
    </row>
    <row r="77" spans="1:10" ht="20.100000000000001" customHeight="1" x14ac:dyDescent="0.25">
      <c r="A77" s="25" t="s">
        <v>18</v>
      </c>
      <c r="B77" s="26" t="s">
        <v>216</v>
      </c>
      <c r="C77" s="27"/>
      <c r="D77" s="26"/>
      <c r="E77" s="26"/>
      <c r="F77" s="26"/>
      <c r="G77" s="28"/>
    </row>
    <row r="78" spans="1:10" ht="20.100000000000001" customHeight="1" x14ac:dyDescent="0.25">
      <c r="A78" s="25" t="s">
        <v>19</v>
      </c>
      <c r="B78" s="26" t="s">
        <v>216</v>
      </c>
      <c r="C78" s="27"/>
      <c r="D78" s="26"/>
      <c r="E78" s="26"/>
      <c r="F78" s="26"/>
      <c r="G78" s="28"/>
    </row>
    <row r="79" spans="1:10" ht="20.100000000000001" customHeight="1" x14ac:dyDescent="0.25">
      <c r="A79" s="25" t="s">
        <v>20</v>
      </c>
      <c r="B79" s="26" t="s">
        <v>216</v>
      </c>
      <c r="C79" s="27"/>
      <c r="D79" s="26"/>
      <c r="E79" s="26"/>
      <c r="F79" s="26"/>
      <c r="G79" s="28"/>
    </row>
    <row r="80" spans="1:10" ht="20.100000000000001" customHeight="1" x14ac:dyDescent="0.25">
      <c r="A80" s="25" t="s">
        <v>26</v>
      </c>
      <c r="B80" s="26" t="s">
        <v>216</v>
      </c>
      <c r="C80" s="27"/>
      <c r="D80" s="26"/>
      <c r="E80" s="26"/>
      <c r="F80" s="26"/>
      <c r="G80" s="28"/>
    </row>
    <row r="81" spans="1:7" ht="20.100000000000001" customHeight="1" x14ac:dyDescent="0.25">
      <c r="A81" s="25" t="s">
        <v>37</v>
      </c>
      <c r="B81" s="26" t="s">
        <v>216</v>
      </c>
      <c r="C81" s="27"/>
      <c r="D81" s="26"/>
      <c r="E81" s="26"/>
      <c r="F81" s="26"/>
      <c r="G81" s="28"/>
    </row>
    <row r="82" spans="1:7" ht="20.100000000000001" customHeight="1" x14ac:dyDescent="0.25">
      <c r="A82" s="25" t="s">
        <v>42</v>
      </c>
      <c r="B82" s="26" t="s">
        <v>216</v>
      </c>
      <c r="C82" s="27"/>
      <c r="D82" s="26"/>
      <c r="E82" s="26"/>
      <c r="F82" s="26"/>
      <c r="G82" s="28"/>
    </row>
    <row r="83" spans="1:7" ht="20.100000000000001" customHeight="1" x14ac:dyDescent="0.25">
      <c r="A83" s="25" t="s">
        <v>46</v>
      </c>
      <c r="B83" s="26" t="s">
        <v>216</v>
      </c>
      <c r="C83" s="27"/>
      <c r="D83" s="26"/>
      <c r="E83" s="26"/>
      <c r="F83" s="26"/>
      <c r="G83" s="28"/>
    </row>
    <row r="84" spans="1:7" ht="20.100000000000001" customHeight="1" x14ac:dyDescent="0.25">
      <c r="A84" s="25" t="s">
        <v>47</v>
      </c>
      <c r="B84" s="26" t="s">
        <v>216</v>
      </c>
      <c r="C84" s="27"/>
      <c r="D84" s="26"/>
      <c r="E84" s="26"/>
      <c r="F84" s="26"/>
      <c r="G84" s="28"/>
    </row>
    <row r="85" spans="1:7" ht="20.100000000000001" customHeight="1" x14ac:dyDescent="0.25">
      <c r="A85" s="25" t="s">
        <v>48</v>
      </c>
      <c r="B85" s="26" t="s">
        <v>216</v>
      </c>
      <c r="C85" s="27"/>
      <c r="D85" s="26"/>
      <c r="E85" s="26"/>
      <c r="F85" s="26"/>
      <c r="G85" s="28"/>
    </row>
    <row r="86" spans="1:7" ht="20.100000000000001" customHeight="1" x14ac:dyDescent="0.25">
      <c r="A86" s="25" t="s">
        <v>68</v>
      </c>
      <c r="B86" s="26" t="s">
        <v>216</v>
      </c>
      <c r="C86" s="27"/>
      <c r="D86" s="26"/>
      <c r="E86" s="26"/>
      <c r="F86" s="26"/>
      <c r="G86" s="28"/>
    </row>
    <row r="87" spans="1:7" ht="20.100000000000001" customHeight="1" x14ac:dyDescent="0.25">
      <c r="A87" s="25" t="s">
        <v>69</v>
      </c>
      <c r="B87" s="26" t="s">
        <v>216</v>
      </c>
      <c r="C87" s="27"/>
      <c r="D87" s="26"/>
      <c r="E87" s="26"/>
      <c r="F87" s="26"/>
      <c r="G87" s="28"/>
    </row>
    <row r="88" spans="1:7" ht="20.100000000000001" customHeight="1" x14ac:dyDescent="0.25">
      <c r="A88" s="25" t="s">
        <v>70</v>
      </c>
      <c r="B88" s="26" t="s">
        <v>216</v>
      </c>
      <c r="C88" s="27"/>
      <c r="D88" s="26"/>
      <c r="E88" s="26"/>
      <c r="F88" s="26"/>
      <c r="G88" s="28"/>
    </row>
    <row r="89" spans="1:7" ht="20.100000000000001" customHeight="1" x14ac:dyDescent="0.25">
      <c r="A89" s="25" t="s">
        <v>71</v>
      </c>
      <c r="B89" s="26" t="s">
        <v>216</v>
      </c>
      <c r="C89" s="27"/>
      <c r="D89" s="26"/>
      <c r="E89" s="26"/>
      <c r="F89" s="26"/>
      <c r="G89" s="28"/>
    </row>
    <row r="90" spans="1:7" ht="20.100000000000001" customHeight="1" x14ac:dyDescent="0.25">
      <c r="A90" s="25" t="s">
        <v>72</v>
      </c>
      <c r="B90" s="26" t="s">
        <v>216</v>
      </c>
      <c r="C90" s="27"/>
      <c r="D90" s="26"/>
      <c r="E90" s="26"/>
      <c r="F90" s="26"/>
      <c r="G90" s="28"/>
    </row>
    <row r="91" spans="1:7" ht="20.100000000000001" customHeight="1" x14ac:dyDescent="0.25">
      <c r="A91" s="25" t="s">
        <v>73</v>
      </c>
      <c r="B91" s="26" t="s">
        <v>216</v>
      </c>
      <c r="C91" s="27"/>
      <c r="D91" s="26"/>
      <c r="E91" s="26"/>
      <c r="F91" s="26"/>
      <c r="G91" s="28"/>
    </row>
    <row r="92" spans="1:7" ht="20.100000000000001" customHeight="1" x14ac:dyDescent="0.25">
      <c r="A92" s="25" t="s">
        <v>74</v>
      </c>
      <c r="B92" s="26" t="s">
        <v>216</v>
      </c>
      <c r="C92" s="27"/>
      <c r="D92" s="26"/>
      <c r="E92" s="26"/>
      <c r="F92" s="26"/>
      <c r="G92" s="28"/>
    </row>
    <row r="93" spans="1:7" ht="20.100000000000001" customHeight="1" x14ac:dyDescent="0.25"/>
    <row r="94" spans="1:7" ht="20.100000000000001" customHeight="1" x14ac:dyDescent="0.25"/>
    <row r="95" spans="1:7" ht="20.100000000000001" customHeight="1" x14ac:dyDescent="0.25"/>
    <row r="96" spans="1:7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</sheetData>
  <mergeCells count="3">
    <mergeCell ref="A1:F1"/>
    <mergeCell ref="A48:G48"/>
    <mergeCell ref="H50:J51"/>
  </mergeCells>
  <pageMargins left="0.7" right="0.7" top="0.75" bottom="0.75" header="0.3" footer="0.3"/>
  <pageSetup scale="78" fitToHeight="0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1:M34"/>
  <sheetViews>
    <sheetView zoomScale="62" zoomScaleNormal="62" workbookViewId="0">
      <selection activeCell="I27" sqref="I27"/>
    </sheetView>
  </sheetViews>
  <sheetFormatPr baseColWidth="10" defaultRowHeight="15" x14ac:dyDescent="0.25"/>
  <cols>
    <col min="1" max="1" width="57.42578125" customWidth="1"/>
    <col min="8" max="8" width="32" customWidth="1"/>
    <col min="9" max="9" width="15.85546875" customWidth="1"/>
    <col min="10" max="10" width="18" customWidth="1"/>
    <col min="11" max="11" width="50.140625" customWidth="1"/>
    <col min="12" max="12" width="38.42578125" customWidth="1"/>
    <col min="13" max="13" width="23.140625" customWidth="1"/>
  </cols>
  <sheetData>
    <row r="1" spans="1:13" ht="73.5" customHeight="1" x14ac:dyDescent="0.25">
      <c r="A1" s="1" t="s">
        <v>271</v>
      </c>
      <c r="B1" s="1"/>
      <c r="C1" s="1"/>
      <c r="D1" s="1"/>
      <c r="E1" s="1"/>
      <c r="G1" s="2" t="s">
        <v>272</v>
      </c>
      <c r="H1" s="2"/>
      <c r="I1" s="2"/>
      <c r="J1" s="2"/>
      <c r="K1" s="2"/>
      <c r="L1" s="3" t="s">
        <v>2</v>
      </c>
    </row>
    <row r="2" spans="1:13" ht="15.75" customHeight="1" x14ac:dyDescent="0.4">
      <c r="A2" s="1"/>
      <c r="B2" s="1"/>
      <c r="C2" s="1"/>
      <c r="D2" s="1"/>
      <c r="E2" s="1"/>
      <c r="G2" s="4" t="s">
        <v>273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7" t="s">
        <v>10</v>
      </c>
      <c r="H4" s="8" t="s">
        <v>274</v>
      </c>
      <c r="I4" s="9" t="s">
        <v>275</v>
      </c>
      <c r="J4" s="8" t="s">
        <v>276</v>
      </c>
      <c r="K4" s="10" t="s">
        <v>277</v>
      </c>
      <c r="L4" s="8" t="s">
        <v>25</v>
      </c>
    </row>
    <row r="5" spans="1:13" ht="30" customHeight="1" x14ac:dyDescent="0.25">
      <c r="G5" s="7" t="s">
        <v>16</v>
      </c>
      <c r="H5" s="8" t="s">
        <v>278</v>
      </c>
      <c r="I5" s="9" t="s">
        <v>279</v>
      </c>
      <c r="J5" s="8" t="s">
        <v>280</v>
      </c>
      <c r="K5" s="10" t="s">
        <v>277</v>
      </c>
      <c r="L5" s="8" t="s">
        <v>25</v>
      </c>
    </row>
    <row r="6" spans="1:13" ht="30" customHeight="1" x14ac:dyDescent="0.25">
      <c r="G6" s="7" t="s">
        <v>18</v>
      </c>
      <c r="H6" s="8" t="s">
        <v>281</v>
      </c>
      <c r="I6" s="9" t="s">
        <v>282</v>
      </c>
      <c r="J6" s="8" t="s">
        <v>283</v>
      </c>
      <c r="K6" s="10" t="s">
        <v>277</v>
      </c>
      <c r="L6" s="8" t="s">
        <v>25</v>
      </c>
    </row>
    <row r="7" spans="1:13" ht="30" customHeight="1" x14ac:dyDescent="0.25">
      <c r="G7" s="7" t="s">
        <v>19</v>
      </c>
      <c r="H7" s="8" t="s">
        <v>284</v>
      </c>
      <c r="I7" s="9" t="s">
        <v>285</v>
      </c>
      <c r="J7" s="8" t="s">
        <v>286</v>
      </c>
      <c r="K7" s="10" t="s">
        <v>277</v>
      </c>
      <c r="L7" s="8" t="s">
        <v>25</v>
      </c>
    </row>
    <row r="8" spans="1:13" ht="30" customHeight="1" x14ac:dyDescent="0.25">
      <c r="G8" s="7" t="s">
        <v>20</v>
      </c>
      <c r="H8" s="8" t="s">
        <v>287</v>
      </c>
      <c r="I8" s="9" t="s">
        <v>288</v>
      </c>
      <c r="J8" s="8" t="s">
        <v>289</v>
      </c>
      <c r="K8" s="10" t="s">
        <v>277</v>
      </c>
      <c r="L8" s="8" t="s">
        <v>25</v>
      </c>
    </row>
    <row r="9" spans="1:13" ht="30" customHeight="1" x14ac:dyDescent="0.25">
      <c r="G9" s="7" t="s">
        <v>26</v>
      </c>
      <c r="H9" s="8" t="s">
        <v>290</v>
      </c>
      <c r="I9" s="9" t="s">
        <v>291</v>
      </c>
      <c r="J9" s="8" t="s">
        <v>292</v>
      </c>
      <c r="K9" s="10" t="s">
        <v>277</v>
      </c>
      <c r="L9" s="8" t="s">
        <v>25</v>
      </c>
      <c r="M9" s="13"/>
    </row>
    <row r="10" spans="1:13" ht="30" customHeight="1" x14ac:dyDescent="0.25">
      <c r="G10" s="7" t="s">
        <v>29</v>
      </c>
      <c r="H10" s="8" t="s">
        <v>293</v>
      </c>
      <c r="I10" s="9" t="s">
        <v>294</v>
      </c>
      <c r="J10" s="8" t="s">
        <v>295</v>
      </c>
      <c r="K10" s="10" t="s">
        <v>296</v>
      </c>
      <c r="L10" s="8" t="s">
        <v>297</v>
      </c>
      <c r="M10" s="13"/>
    </row>
    <row r="11" spans="1:13" ht="30" customHeight="1" x14ac:dyDescent="0.25">
      <c r="G11" s="7" t="s">
        <v>30</v>
      </c>
      <c r="H11" s="8" t="s">
        <v>293</v>
      </c>
      <c r="I11" s="9" t="s">
        <v>17</v>
      </c>
      <c r="J11" s="8" t="s">
        <v>17</v>
      </c>
      <c r="K11" s="10" t="s">
        <v>296</v>
      </c>
      <c r="L11" s="8" t="s">
        <v>297</v>
      </c>
      <c r="M11" s="13"/>
    </row>
    <row r="12" spans="1:13" ht="30" customHeight="1" x14ac:dyDescent="0.25">
      <c r="G12" s="7" t="s">
        <v>35</v>
      </c>
      <c r="H12" s="8" t="s">
        <v>298</v>
      </c>
      <c r="I12" s="9" t="s">
        <v>299</v>
      </c>
      <c r="J12" s="8" t="s">
        <v>300</v>
      </c>
      <c r="K12" s="11" t="s">
        <v>301</v>
      </c>
      <c r="L12" s="8" t="s">
        <v>15</v>
      </c>
      <c r="M12" s="13"/>
    </row>
    <row r="13" spans="1:13" ht="30" customHeight="1" x14ac:dyDescent="0.25">
      <c r="G13" s="7" t="s">
        <v>36</v>
      </c>
      <c r="H13" s="8" t="s">
        <v>302</v>
      </c>
      <c r="I13" s="9" t="s">
        <v>303</v>
      </c>
      <c r="J13" s="8" t="s">
        <v>304</v>
      </c>
      <c r="K13" s="12"/>
      <c r="L13" s="8" t="s">
        <v>15</v>
      </c>
      <c r="M13" s="13"/>
    </row>
    <row r="14" spans="1:13" ht="30" customHeight="1" x14ac:dyDescent="0.25">
      <c r="G14" s="7" t="s">
        <v>37</v>
      </c>
      <c r="H14" s="8" t="s">
        <v>305</v>
      </c>
      <c r="I14" s="9" t="s">
        <v>306</v>
      </c>
      <c r="J14" s="8" t="s">
        <v>307</v>
      </c>
      <c r="K14" s="10" t="s">
        <v>308</v>
      </c>
      <c r="L14" s="8" t="s">
        <v>15</v>
      </c>
      <c r="M14" s="13"/>
    </row>
    <row r="15" spans="1:13" ht="30" customHeight="1" x14ac:dyDescent="0.25">
      <c r="G15" s="7" t="s">
        <v>42</v>
      </c>
      <c r="H15" s="8" t="s">
        <v>309</v>
      </c>
      <c r="I15" s="9" t="s">
        <v>310</v>
      </c>
      <c r="J15" s="8" t="s">
        <v>311</v>
      </c>
      <c r="K15" s="10" t="s">
        <v>308</v>
      </c>
      <c r="L15" s="8" t="s">
        <v>15</v>
      </c>
      <c r="M15" s="13"/>
    </row>
    <row r="16" spans="1:13" ht="30" customHeight="1" x14ac:dyDescent="0.25">
      <c r="G16" s="7" t="s">
        <v>46</v>
      </c>
      <c r="H16" s="8" t="s">
        <v>312</v>
      </c>
      <c r="I16" s="9" t="s">
        <v>313</v>
      </c>
      <c r="J16" s="8" t="s">
        <v>314</v>
      </c>
      <c r="K16" s="10" t="s">
        <v>308</v>
      </c>
      <c r="L16" s="8" t="s">
        <v>15</v>
      </c>
      <c r="M16" s="13"/>
    </row>
    <row r="17" spans="7:13" ht="30" customHeight="1" x14ac:dyDescent="0.25">
      <c r="G17" s="7" t="s">
        <v>47</v>
      </c>
      <c r="H17" s="8" t="s">
        <v>315</v>
      </c>
      <c r="I17" s="9"/>
      <c r="J17" s="8"/>
      <c r="K17" s="10"/>
      <c r="L17" s="8"/>
      <c r="M17" s="13"/>
    </row>
    <row r="18" spans="7:13" ht="30" customHeight="1" x14ac:dyDescent="0.25">
      <c r="G18" s="7" t="s">
        <v>48</v>
      </c>
      <c r="H18" s="8" t="s">
        <v>315</v>
      </c>
      <c r="I18" s="9"/>
      <c r="J18" s="8"/>
      <c r="K18" s="10"/>
      <c r="L18" s="8"/>
      <c r="M18" s="13"/>
    </row>
    <row r="19" spans="7:13" ht="30" customHeight="1" x14ac:dyDescent="0.25">
      <c r="G19" s="7" t="s">
        <v>49</v>
      </c>
      <c r="H19" s="8" t="s">
        <v>315</v>
      </c>
      <c r="I19" s="9"/>
      <c r="J19" s="8"/>
      <c r="K19" s="10"/>
      <c r="L19" s="8"/>
      <c r="M19" s="13"/>
    </row>
    <row r="20" spans="7:13" ht="30" customHeight="1" x14ac:dyDescent="0.25">
      <c r="G20" s="7" t="s">
        <v>50</v>
      </c>
      <c r="H20" s="8" t="s">
        <v>315</v>
      </c>
      <c r="I20" s="9"/>
      <c r="J20" s="8"/>
      <c r="K20" s="10"/>
      <c r="L20" s="8"/>
      <c r="M20" s="13"/>
    </row>
    <row r="21" spans="7:13" ht="30" customHeight="1" x14ac:dyDescent="0.25">
      <c r="G21" s="7" t="s">
        <v>54</v>
      </c>
      <c r="H21" s="8" t="s">
        <v>315</v>
      </c>
      <c r="I21" s="9"/>
      <c r="J21" s="8"/>
      <c r="K21" s="10"/>
      <c r="L21" s="8"/>
      <c r="M21" s="13"/>
    </row>
    <row r="22" spans="7:13" ht="30" customHeight="1" x14ac:dyDescent="0.25">
      <c r="G22" s="7" t="s">
        <v>57</v>
      </c>
      <c r="H22" s="8" t="s">
        <v>315</v>
      </c>
      <c r="I22" s="9"/>
      <c r="J22" s="8"/>
      <c r="K22" s="10"/>
      <c r="L22" s="8"/>
      <c r="M22" s="13"/>
    </row>
    <row r="23" spans="7:13" ht="30" customHeight="1" x14ac:dyDescent="0.25">
      <c r="G23" s="7" t="s">
        <v>61</v>
      </c>
      <c r="H23" s="8" t="s">
        <v>315</v>
      </c>
      <c r="I23" s="9"/>
      <c r="J23" s="8"/>
      <c r="K23" s="10"/>
      <c r="L23" s="8"/>
      <c r="M23" s="13"/>
    </row>
    <row r="24" spans="7:13" ht="30" customHeight="1" x14ac:dyDescent="0.25">
      <c r="G24" s="7" t="s">
        <v>63</v>
      </c>
      <c r="H24" s="8" t="s">
        <v>315</v>
      </c>
      <c r="I24" s="9"/>
      <c r="J24" s="8"/>
      <c r="K24" s="10"/>
      <c r="L24" s="8"/>
      <c r="M24" s="13"/>
    </row>
    <row r="25" spans="7:13" ht="30" customHeight="1" x14ac:dyDescent="0.25">
      <c r="G25" s="7" t="s">
        <v>64</v>
      </c>
      <c r="H25" s="8" t="s">
        <v>315</v>
      </c>
      <c r="I25" s="8"/>
      <c r="J25" s="8"/>
      <c r="K25" s="10"/>
      <c r="L25" s="8"/>
      <c r="M25" s="13"/>
    </row>
    <row r="26" spans="7:13" ht="30" customHeight="1" x14ac:dyDescent="0.25">
      <c r="G26" s="7" t="s">
        <v>65</v>
      </c>
      <c r="H26" s="8" t="s">
        <v>315</v>
      </c>
      <c r="I26" s="9"/>
      <c r="J26" s="8"/>
      <c r="K26" s="10"/>
      <c r="L26" s="8"/>
    </row>
    <row r="27" spans="7:13" ht="30" customHeight="1" x14ac:dyDescent="0.25">
      <c r="G27" s="7" t="s">
        <v>67</v>
      </c>
      <c r="H27" s="8" t="s">
        <v>315</v>
      </c>
      <c r="I27" s="8"/>
      <c r="J27" s="8"/>
      <c r="K27" s="10"/>
      <c r="L27" s="8"/>
    </row>
    <row r="28" spans="7:13" ht="30" customHeight="1" x14ac:dyDescent="0.25">
      <c r="G28" s="7" t="s">
        <v>68</v>
      </c>
      <c r="H28" s="8" t="s">
        <v>315</v>
      </c>
      <c r="I28" s="8"/>
      <c r="J28" s="8"/>
      <c r="K28" s="10"/>
      <c r="L28" s="8"/>
    </row>
    <row r="29" spans="7:13" ht="30" customHeight="1" x14ac:dyDescent="0.25">
      <c r="G29" s="7" t="s">
        <v>69</v>
      </c>
      <c r="H29" s="8" t="s">
        <v>315</v>
      </c>
      <c r="I29" s="8"/>
      <c r="J29" s="8"/>
      <c r="K29" s="10"/>
      <c r="L29" s="8"/>
    </row>
    <row r="30" spans="7:13" ht="30" customHeight="1" x14ac:dyDescent="0.25">
      <c r="G30" s="7" t="s">
        <v>70</v>
      </c>
      <c r="H30" s="8" t="s">
        <v>315</v>
      </c>
      <c r="I30" s="9"/>
      <c r="J30" s="8"/>
      <c r="K30" s="10"/>
      <c r="L30" s="8"/>
    </row>
    <row r="31" spans="7:13" ht="30" customHeight="1" x14ac:dyDescent="0.25">
      <c r="G31" s="7" t="s">
        <v>71</v>
      </c>
      <c r="H31" s="8" t="s">
        <v>315</v>
      </c>
      <c r="I31" s="8"/>
      <c r="J31" s="8"/>
      <c r="K31" s="10"/>
      <c r="L31" s="8"/>
    </row>
    <row r="32" spans="7:13" ht="30" customHeight="1" x14ac:dyDescent="0.25">
      <c r="G32" s="7" t="s">
        <v>72</v>
      </c>
      <c r="H32" s="8" t="s">
        <v>315</v>
      </c>
      <c r="I32" s="9"/>
      <c r="J32" s="8"/>
      <c r="K32" s="10"/>
      <c r="L32" s="8"/>
    </row>
    <row r="33" spans="7:12" ht="30" customHeight="1" x14ac:dyDescent="0.25">
      <c r="G33" s="7" t="s">
        <v>73</v>
      </c>
      <c r="H33" s="8" t="s">
        <v>315</v>
      </c>
      <c r="I33" s="9"/>
      <c r="J33" s="8"/>
      <c r="K33" s="10"/>
      <c r="L33" s="8"/>
    </row>
    <row r="34" spans="7:12" ht="30" customHeight="1" x14ac:dyDescent="0.25">
      <c r="G34" s="7" t="s">
        <v>74</v>
      </c>
      <c r="H34" s="8" t="s">
        <v>315</v>
      </c>
      <c r="I34" s="9"/>
      <c r="J34" s="8"/>
      <c r="K34" s="10"/>
      <c r="L34" s="8"/>
    </row>
  </sheetData>
  <mergeCells count="4">
    <mergeCell ref="A1:E4"/>
    <mergeCell ref="G1:K1"/>
    <mergeCell ref="G2:K2"/>
    <mergeCell ref="K12:K13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pageSetUpPr fitToPage="1"/>
  </sheetPr>
  <dimension ref="A1:Q152"/>
  <sheetViews>
    <sheetView zoomScale="73" zoomScaleNormal="73" workbookViewId="0">
      <selection activeCell="G58" sqref="G58"/>
    </sheetView>
  </sheetViews>
  <sheetFormatPr baseColWidth="10" defaultRowHeight="15" x14ac:dyDescent="0.25"/>
  <cols>
    <col min="2" max="2" width="34" customWidth="1"/>
    <col min="3" max="3" width="16.140625" customWidth="1"/>
    <col min="4" max="4" width="15.42578125" customWidth="1"/>
    <col min="5" max="5" width="17.85546875" customWidth="1"/>
    <col min="6" max="6" width="23.28515625" customWidth="1"/>
    <col min="7" max="7" width="23" style="37" customWidth="1"/>
    <col min="11" max="11" width="34.140625" customWidth="1"/>
    <col min="12" max="12" width="19.85546875" customWidth="1"/>
    <col min="13" max="13" width="16.85546875" customWidth="1"/>
    <col min="14" max="14" width="17" customWidth="1"/>
    <col min="15" max="15" width="19.85546875" customWidth="1"/>
    <col min="16" max="16" width="18.140625" customWidth="1"/>
    <col min="17" max="17" width="23.140625" customWidth="1"/>
  </cols>
  <sheetData>
    <row r="1" spans="1:8" ht="38.25" customHeight="1" x14ac:dyDescent="0.3">
      <c r="A1" s="14" t="s">
        <v>316</v>
      </c>
      <c r="B1" s="14"/>
      <c r="C1" s="14"/>
      <c r="D1" s="14"/>
      <c r="E1" s="14"/>
      <c r="F1" s="14"/>
    </row>
    <row r="3" spans="1:8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317</v>
      </c>
      <c r="G3" s="38"/>
      <c r="H3" s="17"/>
    </row>
    <row r="4" spans="1:8" ht="20.100000000000001" customHeight="1" x14ac:dyDescent="0.25">
      <c r="A4" s="8" t="s">
        <v>10</v>
      </c>
      <c r="B4" s="18" t="str">
        <f>'[1]CAYO MUERTO (15-08)'!H4</f>
        <v>MARIA COROBO</v>
      </c>
      <c r="C4" s="19">
        <v>23</v>
      </c>
      <c r="D4" s="19">
        <v>23</v>
      </c>
      <c r="E4" s="20">
        <f t="shared" ref="E4:E34" si="0">C4-D4</f>
        <v>0</v>
      </c>
      <c r="F4" s="21"/>
    </row>
    <row r="5" spans="1:8" ht="20.100000000000001" customHeight="1" x14ac:dyDescent="0.25">
      <c r="A5" s="8" t="s">
        <v>16</v>
      </c>
      <c r="B5" s="18" t="str">
        <f>'[1]CAYO MUERTO (15-08)'!H5</f>
        <v>JOSE R. TESORERO</v>
      </c>
      <c r="C5" s="19">
        <v>23</v>
      </c>
      <c r="D5" s="19">
        <v>23</v>
      </c>
      <c r="E5" s="20">
        <f t="shared" si="0"/>
        <v>0</v>
      </c>
      <c r="F5" s="21"/>
    </row>
    <row r="6" spans="1:8" ht="20.100000000000001" customHeight="1" x14ac:dyDescent="0.25">
      <c r="A6" s="8" t="s">
        <v>18</v>
      </c>
      <c r="B6" s="18" t="str">
        <f>'[1]CAYO MUERTO (15-08)'!H6</f>
        <v>SARAY PACHECO</v>
      </c>
      <c r="C6" s="19">
        <v>23</v>
      </c>
      <c r="D6" s="19">
        <v>23</v>
      </c>
      <c r="E6" s="20">
        <f t="shared" si="0"/>
        <v>0</v>
      </c>
      <c r="F6" s="21"/>
    </row>
    <row r="7" spans="1:8" ht="20.100000000000001" customHeight="1" x14ac:dyDescent="0.25">
      <c r="A7" s="8" t="s">
        <v>19</v>
      </c>
      <c r="B7" s="18" t="str">
        <f>'[1]CAYO MUERTO (15-08)'!H7</f>
        <v>JOSE G. TESORERO</v>
      </c>
      <c r="C7" s="19">
        <v>23</v>
      </c>
      <c r="D7" s="19">
        <v>23</v>
      </c>
      <c r="E7" s="20">
        <f t="shared" si="0"/>
        <v>0</v>
      </c>
      <c r="F7" s="21"/>
    </row>
    <row r="8" spans="1:8" ht="20.100000000000001" customHeight="1" x14ac:dyDescent="0.25">
      <c r="A8" s="8" t="s">
        <v>20</v>
      </c>
      <c r="B8" s="18" t="str">
        <f>'[1]CAYO MUERTO (15-08)'!H8</f>
        <v>PIERINA DI MARIA</v>
      </c>
      <c r="C8" s="19">
        <v>23</v>
      </c>
      <c r="D8" s="19">
        <v>23</v>
      </c>
      <c r="E8" s="20">
        <f t="shared" si="0"/>
        <v>0</v>
      </c>
      <c r="F8" s="21"/>
    </row>
    <row r="9" spans="1:8" ht="20.100000000000001" customHeight="1" x14ac:dyDescent="0.25">
      <c r="A9" s="8" t="s">
        <v>26</v>
      </c>
      <c r="B9" s="18" t="str">
        <f>'[1]CAYO MUERTO (15-08)'!H9</f>
        <v>ALLER MELENDEZ</v>
      </c>
      <c r="C9" s="19">
        <v>23</v>
      </c>
      <c r="D9" s="19">
        <v>23</v>
      </c>
      <c r="E9" s="20">
        <f t="shared" si="0"/>
        <v>0</v>
      </c>
      <c r="F9" s="21"/>
    </row>
    <row r="10" spans="1:8" ht="20.100000000000001" customHeight="1" x14ac:dyDescent="0.25">
      <c r="A10" s="8" t="s">
        <v>29</v>
      </c>
      <c r="B10" s="18" t="str">
        <f>'[1]CAYO MUERTO (15-08)'!H10</f>
        <v>ROSSELYN CHACON</v>
      </c>
      <c r="C10" s="19">
        <v>24</v>
      </c>
      <c r="D10" s="19">
        <v>24</v>
      </c>
      <c r="E10" s="20">
        <f t="shared" si="0"/>
        <v>0</v>
      </c>
      <c r="F10" s="21"/>
    </row>
    <row r="11" spans="1:8" ht="20.100000000000001" customHeight="1" x14ac:dyDescent="0.25">
      <c r="A11" s="8" t="s">
        <v>30</v>
      </c>
      <c r="B11" s="18" t="str">
        <f>'[1]CAYO MUERTO (15-08)'!H11</f>
        <v>ROSSELYN CHACON</v>
      </c>
      <c r="C11" s="19">
        <v>24</v>
      </c>
      <c r="D11" s="19">
        <v>24</v>
      </c>
      <c r="E11" s="20">
        <f t="shared" si="0"/>
        <v>0</v>
      </c>
      <c r="F11" s="21"/>
    </row>
    <row r="12" spans="1:8" ht="20.100000000000001" customHeight="1" x14ac:dyDescent="0.25">
      <c r="A12" s="8" t="s">
        <v>35</v>
      </c>
      <c r="B12" s="18" t="str">
        <f>'[1]CAYO MUERTO (15-08)'!H12</f>
        <v>ABRAHAN RAMOS</v>
      </c>
      <c r="C12" s="19">
        <v>23</v>
      </c>
      <c r="D12" s="19">
        <v>23</v>
      </c>
      <c r="E12" s="20">
        <f t="shared" si="0"/>
        <v>0</v>
      </c>
      <c r="F12" s="21"/>
    </row>
    <row r="13" spans="1:8" ht="20.100000000000001" customHeight="1" x14ac:dyDescent="0.25">
      <c r="A13" s="8" t="s">
        <v>36</v>
      </c>
      <c r="B13" s="18" t="str">
        <f>'[1]CAYO MUERTO (15-08)'!H13</f>
        <v>ANDRES RAMOS</v>
      </c>
      <c r="C13" s="19">
        <v>23</v>
      </c>
      <c r="D13" s="19">
        <v>23</v>
      </c>
      <c r="E13" s="20">
        <f t="shared" si="0"/>
        <v>0</v>
      </c>
      <c r="F13" s="21"/>
    </row>
    <row r="14" spans="1:8" ht="20.100000000000001" customHeight="1" x14ac:dyDescent="0.25">
      <c r="A14" s="8" t="s">
        <v>37</v>
      </c>
      <c r="B14" s="18" t="str">
        <f>'[1]CAYO MUERTO (15-08)'!H14</f>
        <v>MARIA FLORES</v>
      </c>
      <c r="C14" s="19">
        <v>23</v>
      </c>
      <c r="D14" s="19">
        <v>23</v>
      </c>
      <c r="E14" s="20">
        <f t="shared" si="0"/>
        <v>0</v>
      </c>
      <c r="F14" s="21"/>
    </row>
    <row r="15" spans="1:8" ht="20.100000000000001" customHeight="1" x14ac:dyDescent="0.25">
      <c r="A15" s="8" t="s">
        <v>42</v>
      </c>
      <c r="B15" s="18" t="str">
        <f>'[1]CAYO MUERTO (15-08)'!H15</f>
        <v>ELVIS SALAS</v>
      </c>
      <c r="C15" s="19">
        <v>23</v>
      </c>
      <c r="D15" s="19">
        <v>23</v>
      </c>
      <c r="E15" s="20">
        <f t="shared" si="0"/>
        <v>0</v>
      </c>
      <c r="F15" s="21"/>
    </row>
    <row r="16" spans="1:8" ht="20.100000000000001" customHeight="1" x14ac:dyDescent="0.25">
      <c r="A16" s="8" t="s">
        <v>46</v>
      </c>
      <c r="B16" s="18" t="str">
        <f>'[1]CAYO MUERTO (15-08)'!H16</f>
        <v>YAJAIRA RODRIGUEZ</v>
      </c>
      <c r="C16" s="19">
        <v>23</v>
      </c>
      <c r="D16" s="19">
        <v>23</v>
      </c>
      <c r="E16" s="20">
        <f t="shared" si="0"/>
        <v>0</v>
      </c>
      <c r="F16" s="21"/>
    </row>
    <row r="17" spans="1:6" ht="20.100000000000001" customHeight="1" x14ac:dyDescent="0.25">
      <c r="A17" s="8" t="s">
        <v>47</v>
      </c>
      <c r="B17" s="18" t="str">
        <f>'[1]CAYO MUERTO (15-08)'!H17</f>
        <v>TOUR AZUL</v>
      </c>
      <c r="C17" s="19"/>
      <c r="D17" s="19"/>
      <c r="E17" s="20">
        <f t="shared" si="0"/>
        <v>0</v>
      </c>
      <c r="F17" s="21"/>
    </row>
    <row r="18" spans="1:6" ht="20.100000000000001" customHeight="1" x14ac:dyDescent="0.25">
      <c r="A18" s="8" t="s">
        <v>48</v>
      </c>
      <c r="B18" s="18" t="str">
        <f>'[1]CAYO MUERTO (15-08)'!H18</f>
        <v>TOUR AZUL</v>
      </c>
      <c r="C18" s="19"/>
      <c r="D18" s="19"/>
      <c r="E18" s="20">
        <f t="shared" si="0"/>
        <v>0</v>
      </c>
      <c r="F18" s="21"/>
    </row>
    <row r="19" spans="1:6" ht="20.100000000000001" customHeight="1" x14ac:dyDescent="0.25">
      <c r="A19" s="8" t="s">
        <v>49</v>
      </c>
      <c r="B19" s="18" t="str">
        <f>'[1]CAYO MUERTO (15-08)'!H19</f>
        <v>TOUR AZUL</v>
      </c>
      <c r="C19" s="19"/>
      <c r="D19" s="19"/>
      <c r="E19" s="20">
        <f t="shared" si="0"/>
        <v>0</v>
      </c>
      <c r="F19" s="21"/>
    </row>
    <row r="20" spans="1:6" ht="20.100000000000001" customHeight="1" x14ac:dyDescent="0.25">
      <c r="A20" s="8" t="s">
        <v>50</v>
      </c>
      <c r="B20" s="18" t="str">
        <f>'[1]CAYO MUERTO (15-08)'!H20</f>
        <v>TOUR AZUL</v>
      </c>
      <c r="C20" s="19"/>
      <c r="D20" s="19"/>
      <c r="E20" s="20">
        <f t="shared" si="0"/>
        <v>0</v>
      </c>
      <c r="F20" s="21"/>
    </row>
    <row r="21" spans="1:6" ht="20.100000000000001" customHeight="1" x14ac:dyDescent="0.25">
      <c r="A21" s="8" t="s">
        <v>54</v>
      </c>
      <c r="B21" s="18" t="str">
        <f>'[1]CAYO MUERTO (15-08)'!H21</f>
        <v>TOUR AZUL</v>
      </c>
      <c r="C21" s="19"/>
      <c r="D21" s="19"/>
      <c r="E21" s="20">
        <f t="shared" si="0"/>
        <v>0</v>
      </c>
      <c r="F21" s="21"/>
    </row>
    <row r="22" spans="1:6" ht="20.100000000000001" customHeight="1" x14ac:dyDescent="0.25">
      <c r="A22" s="8" t="s">
        <v>57</v>
      </c>
      <c r="B22" s="18" t="str">
        <f>'[1]CAYO MUERTO (15-08)'!H22</f>
        <v>TOUR AZUL</v>
      </c>
      <c r="C22" s="19"/>
      <c r="D22" s="19"/>
      <c r="E22" s="20">
        <f t="shared" si="0"/>
        <v>0</v>
      </c>
      <c r="F22" s="21"/>
    </row>
    <row r="23" spans="1:6" ht="20.100000000000001" customHeight="1" x14ac:dyDescent="0.25">
      <c r="A23" s="8" t="s">
        <v>61</v>
      </c>
      <c r="B23" s="18" t="str">
        <f>'[1]CAYO MUERTO (15-08)'!H23</f>
        <v>TOUR AZUL</v>
      </c>
      <c r="C23" s="19"/>
      <c r="D23" s="19"/>
      <c r="E23" s="20">
        <f t="shared" si="0"/>
        <v>0</v>
      </c>
      <c r="F23" s="21"/>
    </row>
    <row r="24" spans="1:6" ht="20.100000000000001" customHeight="1" x14ac:dyDescent="0.25">
      <c r="A24" s="8" t="s">
        <v>63</v>
      </c>
      <c r="B24" s="18" t="str">
        <f>'[1]CAYO MUERTO (15-08)'!H24</f>
        <v>TOUR AZUL</v>
      </c>
      <c r="C24" s="19"/>
      <c r="D24" s="19"/>
      <c r="E24" s="20">
        <f t="shared" si="0"/>
        <v>0</v>
      </c>
      <c r="F24" s="21"/>
    </row>
    <row r="25" spans="1:6" ht="20.100000000000001" customHeight="1" x14ac:dyDescent="0.25">
      <c r="A25" s="8" t="s">
        <v>64</v>
      </c>
      <c r="B25" s="18" t="str">
        <f>'[1]CAYO MUERTO (15-08)'!H25</f>
        <v>TOUR AZUL</v>
      </c>
      <c r="C25" s="19"/>
      <c r="D25" s="19"/>
      <c r="E25" s="20">
        <f t="shared" si="0"/>
        <v>0</v>
      </c>
      <c r="F25" s="21"/>
    </row>
    <row r="26" spans="1:6" ht="20.100000000000001" customHeight="1" x14ac:dyDescent="0.25">
      <c r="A26" s="8" t="s">
        <v>65</v>
      </c>
      <c r="B26" s="18" t="str">
        <f>'[1]CAYO MUERTO (15-08)'!H26</f>
        <v>TOUR AZUL</v>
      </c>
      <c r="C26" s="19"/>
      <c r="D26" s="19"/>
      <c r="E26" s="20">
        <f t="shared" si="0"/>
        <v>0</v>
      </c>
      <c r="F26" s="21"/>
    </row>
    <row r="27" spans="1:6" ht="20.100000000000001" customHeight="1" x14ac:dyDescent="0.25">
      <c r="A27" s="8" t="s">
        <v>67</v>
      </c>
      <c r="B27" s="18" t="str">
        <f>'[1]CAYO MUERTO (15-08)'!H27</f>
        <v>TOUR AZUL</v>
      </c>
      <c r="C27" s="19"/>
      <c r="D27" s="19"/>
      <c r="E27" s="20">
        <f t="shared" si="0"/>
        <v>0</v>
      </c>
      <c r="F27" s="21"/>
    </row>
    <row r="28" spans="1:6" ht="20.100000000000001" customHeight="1" x14ac:dyDescent="0.25">
      <c r="A28" s="8" t="s">
        <v>68</v>
      </c>
      <c r="B28" s="18" t="str">
        <f>'[1]CAYO MUERTO (15-08)'!H28</f>
        <v>TOUR AZUL</v>
      </c>
      <c r="C28" s="19"/>
      <c r="D28" s="19"/>
      <c r="E28" s="20">
        <f t="shared" si="0"/>
        <v>0</v>
      </c>
      <c r="F28" s="21"/>
    </row>
    <row r="29" spans="1:6" ht="20.100000000000001" customHeight="1" x14ac:dyDescent="0.25">
      <c r="A29" s="8" t="s">
        <v>69</v>
      </c>
      <c r="B29" s="18" t="str">
        <f>'[1]CAYO MUERTO (15-08)'!H29</f>
        <v>TOUR AZUL</v>
      </c>
      <c r="C29" s="19"/>
      <c r="D29" s="19"/>
      <c r="E29" s="20">
        <f t="shared" si="0"/>
        <v>0</v>
      </c>
      <c r="F29" s="21"/>
    </row>
    <row r="30" spans="1:6" ht="20.100000000000001" customHeight="1" x14ac:dyDescent="0.25">
      <c r="A30" s="8" t="s">
        <v>70</v>
      </c>
      <c r="B30" s="18" t="str">
        <f>'[1]CAYO MUERTO (15-08)'!H30</f>
        <v>TOUR AZUL</v>
      </c>
      <c r="C30" s="19"/>
      <c r="D30" s="19"/>
      <c r="E30" s="20">
        <f t="shared" si="0"/>
        <v>0</v>
      </c>
      <c r="F30" s="21"/>
    </row>
    <row r="31" spans="1:6" ht="20.100000000000001" customHeight="1" x14ac:dyDescent="0.25">
      <c r="A31" s="8" t="s">
        <v>71</v>
      </c>
      <c r="B31" s="18" t="str">
        <f>'[1]CAYO MUERTO (15-08)'!H31</f>
        <v>TOUR AZUL</v>
      </c>
      <c r="C31" s="19"/>
      <c r="D31" s="19"/>
      <c r="E31" s="20">
        <f t="shared" si="0"/>
        <v>0</v>
      </c>
      <c r="F31" s="21"/>
    </row>
    <row r="32" spans="1:6" ht="20.100000000000001" customHeight="1" x14ac:dyDescent="0.25">
      <c r="A32" s="8" t="s">
        <v>72</v>
      </c>
      <c r="B32" s="18" t="str">
        <f>'[1]CAYO MUERTO (15-08)'!H32</f>
        <v>TOUR AZUL</v>
      </c>
      <c r="C32" s="19"/>
      <c r="D32" s="19"/>
      <c r="E32" s="20">
        <f t="shared" si="0"/>
        <v>0</v>
      </c>
      <c r="F32" s="21"/>
    </row>
    <row r="33" spans="1:17" ht="20.100000000000001" customHeight="1" x14ac:dyDescent="0.25">
      <c r="A33" s="8" t="s">
        <v>73</v>
      </c>
      <c r="B33" s="18" t="str">
        <f>'[1]CAYO MUERTO (15-08)'!H33</f>
        <v>TOUR AZUL</v>
      </c>
      <c r="C33" s="19"/>
      <c r="D33" s="19"/>
      <c r="E33" s="20">
        <f t="shared" si="0"/>
        <v>0</v>
      </c>
      <c r="F33" s="21"/>
    </row>
    <row r="34" spans="1:17" ht="20.100000000000001" customHeight="1" x14ac:dyDescent="0.25">
      <c r="A34" s="8" t="s">
        <v>74</v>
      </c>
      <c r="B34" s="18" t="str">
        <f>'[1]CAYO MUERTO (15-08)'!H34</f>
        <v>TOUR AZUL</v>
      </c>
      <c r="C34" s="19"/>
      <c r="D34" s="19"/>
      <c r="E34" s="20">
        <f t="shared" si="0"/>
        <v>0</v>
      </c>
      <c r="F34" s="21"/>
    </row>
    <row r="35" spans="1:17" ht="20.100000000000001" customHeight="1" x14ac:dyDescent="0.25"/>
    <row r="36" spans="1:17" ht="20.100000000000001" customHeight="1" x14ac:dyDescent="0.25">
      <c r="B36" s="15" t="s">
        <v>79</v>
      </c>
      <c r="C36" s="22">
        <f>SUM(C4:C34)</f>
        <v>301</v>
      </c>
      <c r="D36" s="22">
        <f>SUM(D4:D34)</f>
        <v>301</v>
      </c>
      <c r="E36" s="22">
        <f>SUM(E4:E34)</f>
        <v>0</v>
      </c>
      <c r="F36" s="22">
        <f>SUM(F4:F34)</f>
        <v>0</v>
      </c>
    </row>
    <row r="48" spans="1:17" ht="29.25" customHeight="1" x14ac:dyDescent="0.45">
      <c r="A48" s="23" t="s">
        <v>80</v>
      </c>
      <c r="B48" s="23"/>
      <c r="C48" s="23"/>
      <c r="D48" s="23"/>
      <c r="E48" s="23"/>
      <c r="F48" s="23"/>
      <c r="G48" s="23"/>
      <c r="K48" s="23" t="s">
        <v>318</v>
      </c>
      <c r="L48" s="23"/>
      <c r="M48" s="23"/>
      <c r="N48" s="23"/>
      <c r="O48" s="23"/>
      <c r="P48" s="23"/>
      <c r="Q48" s="23"/>
    </row>
    <row r="49" spans="1:17" ht="30" customHeight="1" x14ac:dyDescent="0.25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39" t="s">
        <v>85</v>
      </c>
      <c r="K49" s="24" t="s">
        <v>319</v>
      </c>
      <c r="L49" s="24" t="s">
        <v>320</v>
      </c>
      <c r="M49" s="24" t="s">
        <v>321</v>
      </c>
      <c r="N49" s="24" t="s">
        <v>83</v>
      </c>
      <c r="O49" s="24" t="s">
        <v>84</v>
      </c>
      <c r="P49" s="24" t="s">
        <v>85</v>
      </c>
      <c r="Q49" s="24" t="s">
        <v>9</v>
      </c>
    </row>
    <row r="50" spans="1:17" ht="20.100000000000001" customHeight="1" x14ac:dyDescent="0.25">
      <c r="A50" s="25" t="s">
        <v>10</v>
      </c>
      <c r="B50" s="26" t="s">
        <v>322</v>
      </c>
      <c r="C50" s="27"/>
      <c r="D50" s="26"/>
      <c r="E50" s="26">
        <v>60</v>
      </c>
      <c r="F50" s="26" t="s">
        <v>323</v>
      </c>
      <c r="G50" s="28">
        <v>46247</v>
      </c>
      <c r="H50" s="29"/>
      <c r="I50" s="30"/>
      <c r="J50" s="30"/>
      <c r="K50" s="48" t="s">
        <v>324</v>
      </c>
      <c r="L50" s="27">
        <v>12522.86</v>
      </c>
      <c r="M50" s="48">
        <v>889.45</v>
      </c>
      <c r="N50" s="48">
        <v>14</v>
      </c>
      <c r="O50" s="48" t="s">
        <v>325</v>
      </c>
      <c r="P50" s="28">
        <v>46250</v>
      </c>
      <c r="Q50" s="48" t="s">
        <v>326</v>
      </c>
    </row>
    <row r="51" spans="1:17" ht="20.100000000000001" customHeight="1" x14ac:dyDescent="0.25">
      <c r="A51" s="25" t="s">
        <v>16</v>
      </c>
      <c r="B51" s="26" t="s">
        <v>322</v>
      </c>
      <c r="C51" s="27"/>
      <c r="D51" s="26"/>
      <c r="E51" s="26">
        <v>78</v>
      </c>
      <c r="F51" s="26" t="s">
        <v>327</v>
      </c>
      <c r="G51" s="28">
        <v>46248</v>
      </c>
      <c r="H51" s="29"/>
      <c r="I51" s="30"/>
      <c r="J51" s="30"/>
      <c r="K51" s="48" t="s">
        <v>328</v>
      </c>
      <c r="L51" s="27">
        <v>12453</v>
      </c>
      <c r="M51" s="48">
        <v>889.45</v>
      </c>
      <c r="N51" s="48">
        <v>14</v>
      </c>
      <c r="O51" s="48" t="s">
        <v>329</v>
      </c>
      <c r="P51" s="28">
        <v>46249</v>
      </c>
      <c r="Q51" s="48" t="s">
        <v>326</v>
      </c>
    </row>
    <row r="52" spans="1:17" ht="20.100000000000001" customHeight="1" x14ac:dyDescent="0.25">
      <c r="A52" s="25" t="s">
        <v>18</v>
      </c>
      <c r="B52" s="26" t="s">
        <v>322</v>
      </c>
      <c r="C52" s="27"/>
      <c r="D52" s="26"/>
      <c r="E52" s="26"/>
      <c r="F52" s="26"/>
      <c r="G52" s="28"/>
      <c r="H52" s="32"/>
      <c r="I52" s="32"/>
      <c r="J52" s="32"/>
    </row>
    <row r="53" spans="1:17" ht="20.100000000000001" customHeight="1" x14ac:dyDescent="0.25">
      <c r="A53" s="25" t="s">
        <v>19</v>
      </c>
      <c r="B53" s="26" t="s">
        <v>322</v>
      </c>
      <c r="C53" s="27"/>
      <c r="D53" s="26"/>
      <c r="E53" s="26"/>
      <c r="F53" s="26"/>
      <c r="G53" s="28"/>
      <c r="H53" s="32"/>
      <c r="I53" s="32"/>
      <c r="J53" s="32"/>
    </row>
    <row r="54" spans="1:17" ht="20.100000000000001" customHeight="1" x14ac:dyDescent="0.25">
      <c r="A54" s="25" t="s">
        <v>20</v>
      </c>
      <c r="B54" s="26" t="s">
        <v>322</v>
      </c>
      <c r="C54" s="27"/>
      <c r="D54" s="26"/>
      <c r="E54" s="26"/>
      <c r="F54" s="26"/>
      <c r="G54" s="28"/>
      <c r="H54" s="30"/>
      <c r="I54" s="30"/>
      <c r="J54" s="30"/>
    </row>
    <row r="55" spans="1:17" ht="20.100000000000001" customHeight="1" x14ac:dyDescent="0.25">
      <c r="A55" s="25" t="s">
        <v>26</v>
      </c>
      <c r="B55" s="26" t="s">
        <v>322</v>
      </c>
      <c r="C55" s="27"/>
      <c r="D55" s="26"/>
      <c r="E55" s="26"/>
      <c r="F55" s="26"/>
      <c r="G55" s="28"/>
      <c r="H55" s="30"/>
      <c r="I55" s="30"/>
      <c r="J55" s="30"/>
    </row>
    <row r="56" spans="1:17" ht="20.100000000000001" customHeight="1" x14ac:dyDescent="0.25">
      <c r="H56" s="32"/>
      <c r="I56" s="32"/>
      <c r="J56" s="32"/>
    </row>
    <row r="57" spans="1:17" ht="20.100000000000001" customHeight="1" x14ac:dyDescent="0.25">
      <c r="H57" s="32"/>
      <c r="I57" s="32"/>
      <c r="J57" s="32"/>
    </row>
    <row r="58" spans="1:17" ht="20.100000000000001" customHeight="1" x14ac:dyDescent="0.25">
      <c r="H58" s="32"/>
      <c r="I58" s="32"/>
      <c r="J58" s="32"/>
    </row>
    <row r="59" spans="1:17" ht="20.100000000000001" customHeight="1" x14ac:dyDescent="0.25">
      <c r="A59" s="25" t="s">
        <v>35</v>
      </c>
      <c r="B59" s="26" t="s">
        <v>298</v>
      </c>
      <c r="C59" s="27">
        <v>41170</v>
      </c>
      <c r="D59" s="26">
        <v>889.45</v>
      </c>
      <c r="E59" s="26">
        <v>46</v>
      </c>
      <c r="F59" s="26" t="s">
        <v>330</v>
      </c>
      <c r="G59" s="28">
        <v>46248</v>
      </c>
      <c r="H59" s="30"/>
      <c r="I59" s="30"/>
      <c r="J59" s="30"/>
    </row>
    <row r="60" spans="1:17" ht="20.100000000000001" customHeight="1" x14ac:dyDescent="0.25">
      <c r="A60" s="25" t="s">
        <v>36</v>
      </c>
      <c r="B60" s="26" t="s">
        <v>298</v>
      </c>
      <c r="C60" s="27"/>
      <c r="D60" s="26"/>
      <c r="E60" s="26"/>
      <c r="F60" s="26"/>
      <c r="G60" s="28"/>
      <c r="H60" s="30"/>
      <c r="I60" s="30"/>
      <c r="J60" s="30"/>
    </row>
    <row r="61" spans="1:17" ht="20.100000000000001" customHeight="1" x14ac:dyDescent="0.25">
      <c r="H61" s="30"/>
      <c r="I61" s="30"/>
      <c r="J61" s="30"/>
    </row>
    <row r="62" spans="1:17" ht="20.100000000000001" customHeight="1" x14ac:dyDescent="0.25">
      <c r="H62" s="32"/>
      <c r="I62" s="32"/>
      <c r="J62" s="32"/>
    </row>
    <row r="63" spans="1:17" ht="20.100000000000001" customHeight="1" x14ac:dyDescent="0.25">
      <c r="H63" s="32"/>
      <c r="I63" s="32"/>
      <c r="J63" s="32"/>
    </row>
    <row r="64" spans="1:17" ht="20.100000000000001" customHeight="1" x14ac:dyDescent="0.25">
      <c r="A64" s="25" t="s">
        <v>37</v>
      </c>
      <c r="B64" s="26" t="s">
        <v>331</v>
      </c>
      <c r="C64" s="27">
        <v>26468.86</v>
      </c>
      <c r="D64" s="26">
        <v>882.3</v>
      </c>
      <c r="E64" s="26">
        <v>30</v>
      </c>
      <c r="F64" s="26" t="s">
        <v>329</v>
      </c>
      <c r="G64" s="28">
        <v>46246</v>
      </c>
      <c r="H64" s="32"/>
      <c r="I64" s="30"/>
      <c r="J64" s="30"/>
    </row>
    <row r="65" spans="1:10" ht="20.100000000000001" customHeight="1" x14ac:dyDescent="0.25">
      <c r="A65" s="25" t="s">
        <v>42</v>
      </c>
      <c r="B65" s="26" t="s">
        <v>331</v>
      </c>
      <c r="C65" s="27">
        <v>23126</v>
      </c>
      <c r="D65" s="26">
        <v>889.45</v>
      </c>
      <c r="E65" s="26">
        <v>26</v>
      </c>
      <c r="F65" s="26" t="s">
        <v>329</v>
      </c>
      <c r="G65" s="28">
        <v>46248</v>
      </c>
      <c r="H65" s="32"/>
      <c r="I65" s="30"/>
      <c r="J65" s="30"/>
    </row>
    <row r="66" spans="1:10" ht="20.100000000000001" customHeight="1" x14ac:dyDescent="0.25">
      <c r="A66" s="25" t="s">
        <v>46</v>
      </c>
      <c r="B66" s="26" t="s">
        <v>331</v>
      </c>
      <c r="C66" s="27">
        <v>11562.9</v>
      </c>
      <c r="D66" s="26">
        <v>889.45</v>
      </c>
      <c r="E66" s="26">
        <v>13</v>
      </c>
      <c r="F66" s="26" t="s">
        <v>329</v>
      </c>
      <c r="G66" s="28">
        <v>46248</v>
      </c>
      <c r="H66" s="32"/>
      <c r="I66" s="30"/>
      <c r="J66" s="30"/>
    </row>
    <row r="67" spans="1:10" ht="20.100000000000001" customHeight="1" x14ac:dyDescent="0.25">
      <c r="H67" s="32"/>
      <c r="I67" s="30"/>
      <c r="J67" s="30"/>
    </row>
    <row r="68" spans="1:10" ht="20.100000000000001" customHeight="1" x14ac:dyDescent="0.25">
      <c r="H68" s="32"/>
    </row>
    <row r="69" spans="1:10" ht="20.100000000000001" customHeight="1" x14ac:dyDescent="0.25">
      <c r="H69" s="32"/>
    </row>
    <row r="70" spans="1:10" ht="20.100000000000001" customHeight="1" x14ac:dyDescent="0.25">
      <c r="A70" s="25" t="s">
        <v>29</v>
      </c>
      <c r="B70" s="26" t="s">
        <v>332</v>
      </c>
      <c r="C70" s="27">
        <v>38246.519999999997</v>
      </c>
      <c r="D70" s="26">
        <v>889.45</v>
      </c>
      <c r="E70" s="26">
        <v>43</v>
      </c>
      <c r="F70" s="26" t="s">
        <v>333</v>
      </c>
      <c r="G70" s="28">
        <v>46248</v>
      </c>
      <c r="H70" s="32"/>
    </row>
    <row r="71" spans="1:10" ht="20.100000000000001" customHeight="1" x14ac:dyDescent="0.25">
      <c r="A71" s="25" t="s">
        <v>30</v>
      </c>
      <c r="B71" s="26" t="s">
        <v>332</v>
      </c>
      <c r="C71" s="27">
        <v>4447.2700000000004</v>
      </c>
      <c r="D71" s="26">
        <v>889.45</v>
      </c>
      <c r="E71" s="26">
        <v>5</v>
      </c>
      <c r="F71" s="26" t="s">
        <v>334</v>
      </c>
      <c r="G71" s="28">
        <v>46249</v>
      </c>
      <c r="H71" s="32"/>
    </row>
    <row r="72" spans="1:10" ht="20.100000000000001" customHeight="1" x14ac:dyDescent="0.25">
      <c r="H72" s="32"/>
    </row>
    <row r="73" spans="1:10" ht="20.100000000000001" customHeight="1" x14ac:dyDescent="0.25">
      <c r="H73" s="32"/>
    </row>
    <row r="74" spans="1:10" ht="20.100000000000001" customHeight="1" x14ac:dyDescent="0.25"/>
    <row r="75" spans="1:10" ht="20.100000000000001" customHeight="1" x14ac:dyDescent="0.25">
      <c r="A75" s="25" t="s">
        <v>47</v>
      </c>
      <c r="B75" s="26" t="s">
        <v>315</v>
      </c>
      <c r="C75" s="27"/>
      <c r="D75" s="26"/>
      <c r="E75" s="26"/>
      <c r="F75" s="26"/>
      <c r="G75" s="28"/>
    </row>
    <row r="76" spans="1:10" ht="20.100000000000001" customHeight="1" x14ac:dyDescent="0.25">
      <c r="A76" s="25" t="s">
        <v>48</v>
      </c>
      <c r="B76" s="26" t="s">
        <v>315</v>
      </c>
      <c r="C76" s="27"/>
      <c r="D76" s="26"/>
      <c r="E76" s="26"/>
      <c r="F76" s="26"/>
      <c r="G76" s="28"/>
    </row>
    <row r="77" spans="1:10" ht="20.100000000000001" customHeight="1" x14ac:dyDescent="0.25">
      <c r="A77" s="25" t="s">
        <v>49</v>
      </c>
      <c r="B77" s="26" t="s">
        <v>315</v>
      </c>
      <c r="C77" s="27"/>
      <c r="D77" s="26"/>
      <c r="E77" s="26"/>
      <c r="F77" s="26"/>
      <c r="G77" s="28"/>
    </row>
    <row r="78" spans="1:10" ht="20.100000000000001" customHeight="1" x14ac:dyDescent="0.25">
      <c r="A78" s="25" t="s">
        <v>50</v>
      </c>
      <c r="B78" s="26" t="s">
        <v>315</v>
      </c>
      <c r="C78" s="27"/>
      <c r="D78" s="26"/>
      <c r="E78" s="26"/>
      <c r="F78" s="26"/>
      <c r="G78" s="28"/>
    </row>
    <row r="79" spans="1:10" ht="20.100000000000001" customHeight="1" x14ac:dyDescent="0.25">
      <c r="A79" s="25" t="s">
        <v>54</v>
      </c>
      <c r="B79" s="26" t="s">
        <v>315</v>
      </c>
      <c r="C79" s="27"/>
      <c r="D79" s="26"/>
      <c r="E79" s="26"/>
      <c r="F79" s="26"/>
      <c r="G79" s="28"/>
    </row>
    <row r="80" spans="1:10" ht="20.100000000000001" customHeight="1" x14ac:dyDescent="0.25">
      <c r="A80" s="25" t="s">
        <v>57</v>
      </c>
      <c r="B80" s="26" t="s">
        <v>315</v>
      </c>
      <c r="C80" s="27"/>
      <c r="D80" s="26"/>
      <c r="E80" s="26"/>
      <c r="F80" s="26"/>
      <c r="G80" s="28"/>
    </row>
    <row r="81" spans="1:7" ht="20.100000000000001" customHeight="1" x14ac:dyDescent="0.25">
      <c r="A81" s="25" t="s">
        <v>61</v>
      </c>
      <c r="B81" s="26" t="s">
        <v>315</v>
      </c>
      <c r="C81" s="27"/>
      <c r="D81" s="26"/>
      <c r="E81" s="26"/>
      <c r="F81" s="26"/>
      <c r="G81" s="28"/>
    </row>
    <row r="82" spans="1:7" ht="20.100000000000001" customHeight="1" x14ac:dyDescent="0.25">
      <c r="A82" s="25" t="s">
        <v>63</v>
      </c>
      <c r="B82" s="26" t="s">
        <v>315</v>
      </c>
      <c r="C82" s="27"/>
      <c r="D82" s="26"/>
      <c r="E82" s="26"/>
      <c r="F82" s="26"/>
      <c r="G82" s="28"/>
    </row>
    <row r="83" spans="1:7" ht="20.100000000000001" customHeight="1" x14ac:dyDescent="0.25">
      <c r="A83" s="25" t="s">
        <v>64</v>
      </c>
      <c r="B83" s="26" t="s">
        <v>315</v>
      </c>
      <c r="C83" s="27"/>
      <c r="D83" s="26"/>
      <c r="E83" s="26"/>
      <c r="F83" s="26"/>
      <c r="G83" s="28"/>
    </row>
    <row r="84" spans="1:7" ht="20.100000000000001" customHeight="1" x14ac:dyDescent="0.25">
      <c r="A84" s="25" t="s">
        <v>65</v>
      </c>
      <c r="B84" s="26" t="s">
        <v>315</v>
      </c>
      <c r="C84" s="27"/>
      <c r="D84" s="26"/>
      <c r="E84" s="26"/>
      <c r="F84" s="26"/>
      <c r="G84" s="28"/>
    </row>
    <row r="85" spans="1:7" ht="20.100000000000001" customHeight="1" x14ac:dyDescent="0.25">
      <c r="A85" s="25" t="s">
        <v>67</v>
      </c>
      <c r="B85" s="26" t="s">
        <v>315</v>
      </c>
      <c r="C85" s="27"/>
      <c r="D85" s="26"/>
      <c r="E85" s="26"/>
      <c r="F85" s="26"/>
      <c r="G85" s="28"/>
    </row>
    <row r="86" spans="1:7" ht="20.100000000000001" customHeight="1" x14ac:dyDescent="0.25">
      <c r="A86" s="25" t="s">
        <v>68</v>
      </c>
      <c r="B86" s="26" t="s">
        <v>315</v>
      </c>
      <c r="C86" s="27"/>
      <c r="D86" s="26"/>
      <c r="E86" s="26"/>
      <c r="F86" s="26"/>
      <c r="G86" s="28"/>
    </row>
    <row r="87" spans="1:7" ht="20.100000000000001" customHeight="1" x14ac:dyDescent="0.25">
      <c r="A87" s="25" t="s">
        <v>69</v>
      </c>
      <c r="B87" s="26" t="s">
        <v>315</v>
      </c>
      <c r="C87" s="27"/>
      <c r="D87" s="26"/>
      <c r="E87" s="26"/>
      <c r="F87" s="26"/>
      <c r="G87" s="28"/>
    </row>
    <row r="88" spans="1:7" ht="20.100000000000001" customHeight="1" x14ac:dyDescent="0.25">
      <c r="A88" s="25" t="s">
        <v>70</v>
      </c>
      <c r="B88" s="26" t="s">
        <v>315</v>
      </c>
      <c r="C88" s="27"/>
      <c r="D88" s="26"/>
      <c r="E88" s="26"/>
      <c r="F88" s="26"/>
      <c r="G88" s="28"/>
    </row>
    <row r="89" spans="1:7" ht="20.100000000000001" customHeight="1" x14ac:dyDescent="0.25">
      <c r="A89" s="25" t="s">
        <v>71</v>
      </c>
      <c r="B89" s="26" t="s">
        <v>315</v>
      </c>
      <c r="C89" s="27"/>
      <c r="D89" s="26"/>
      <c r="E89" s="26"/>
      <c r="F89" s="26"/>
      <c r="G89" s="28"/>
    </row>
    <row r="90" spans="1:7" ht="20.100000000000001" customHeight="1" x14ac:dyDescent="0.25">
      <c r="A90" s="25" t="s">
        <v>72</v>
      </c>
      <c r="B90" s="26" t="s">
        <v>315</v>
      </c>
      <c r="C90" s="27"/>
      <c r="D90" s="26"/>
      <c r="E90" s="26"/>
      <c r="F90" s="26"/>
      <c r="G90" s="28"/>
    </row>
    <row r="91" spans="1:7" ht="20.100000000000001" customHeight="1" x14ac:dyDescent="0.25">
      <c r="A91" s="25" t="s">
        <v>73</v>
      </c>
      <c r="B91" s="26" t="s">
        <v>315</v>
      </c>
      <c r="C91" s="27"/>
      <c r="D91" s="26"/>
      <c r="E91" s="26"/>
      <c r="F91" s="26"/>
      <c r="G91" s="28"/>
    </row>
    <row r="92" spans="1:7" ht="20.100000000000001" customHeight="1" x14ac:dyDescent="0.25">
      <c r="A92" s="25" t="s">
        <v>74</v>
      </c>
      <c r="B92" s="26" t="s">
        <v>315</v>
      </c>
      <c r="C92" s="27"/>
      <c r="D92" s="26"/>
      <c r="E92" s="26"/>
      <c r="F92" s="26"/>
      <c r="G92" s="28"/>
    </row>
    <row r="93" spans="1:7" ht="20.100000000000001" customHeight="1" x14ac:dyDescent="0.25"/>
    <row r="94" spans="1:7" ht="20.100000000000001" customHeight="1" x14ac:dyDescent="0.25"/>
    <row r="95" spans="1:7" ht="20.100000000000001" customHeight="1" x14ac:dyDescent="0.25"/>
    <row r="96" spans="1:7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</sheetData>
  <mergeCells count="3">
    <mergeCell ref="A1:F1"/>
    <mergeCell ref="A48:G48"/>
    <mergeCell ref="K48:Q48"/>
  </mergeCells>
  <pageMargins left="0.7" right="0.7" top="0.75" bottom="0.75" header="0.3" footer="0.3"/>
  <pageSetup scale="78" fitToHeight="0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A1:M34"/>
  <sheetViews>
    <sheetView topLeftCell="A7" zoomScale="62" zoomScaleNormal="62" workbookViewId="0">
      <selection activeCell="J8" sqref="J8"/>
    </sheetView>
  </sheetViews>
  <sheetFormatPr baseColWidth="10" defaultRowHeight="15" x14ac:dyDescent="0.25"/>
  <cols>
    <col min="1" max="1" width="57.42578125" customWidth="1"/>
    <col min="8" max="8" width="32" customWidth="1"/>
    <col min="9" max="9" width="15.85546875" customWidth="1"/>
    <col min="10" max="10" width="18" customWidth="1"/>
    <col min="11" max="11" width="50.140625" customWidth="1"/>
    <col min="12" max="12" width="38.42578125" customWidth="1"/>
    <col min="13" max="13" width="23.140625" customWidth="1"/>
  </cols>
  <sheetData>
    <row r="1" spans="1:13" ht="73.5" customHeight="1" x14ac:dyDescent="0.25">
      <c r="A1" s="1" t="s">
        <v>335</v>
      </c>
      <c r="B1" s="1"/>
      <c r="C1" s="1"/>
      <c r="D1" s="1"/>
      <c r="E1" s="1"/>
      <c r="G1" s="2" t="s">
        <v>336</v>
      </c>
      <c r="H1" s="2"/>
      <c r="I1" s="2"/>
      <c r="J1" s="2"/>
      <c r="K1" s="2"/>
      <c r="L1" s="3" t="s">
        <v>2</v>
      </c>
    </row>
    <row r="2" spans="1:13" ht="15.75" customHeight="1" x14ac:dyDescent="0.4">
      <c r="A2" s="1"/>
      <c r="B2" s="1"/>
      <c r="C2" s="1"/>
      <c r="D2" s="1"/>
      <c r="E2" s="1"/>
      <c r="G2" s="4" t="s">
        <v>273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7" t="s">
        <v>10</v>
      </c>
      <c r="H4" s="8" t="s">
        <v>337</v>
      </c>
      <c r="I4" s="9" t="s">
        <v>17</v>
      </c>
      <c r="J4" s="8" t="s">
        <v>338</v>
      </c>
      <c r="K4" s="10" t="s">
        <v>339</v>
      </c>
      <c r="L4" s="8" t="s">
        <v>15</v>
      </c>
    </row>
    <row r="5" spans="1:13" ht="30" customHeight="1" x14ac:dyDescent="0.25">
      <c r="G5" s="7" t="s">
        <v>16</v>
      </c>
      <c r="H5" s="8" t="s">
        <v>337</v>
      </c>
      <c r="I5" s="9" t="s">
        <v>17</v>
      </c>
      <c r="J5" s="8" t="s">
        <v>17</v>
      </c>
      <c r="K5" s="10" t="s">
        <v>339</v>
      </c>
      <c r="L5" s="8" t="s">
        <v>15</v>
      </c>
    </row>
    <row r="6" spans="1:13" ht="30" customHeight="1" x14ac:dyDescent="0.25">
      <c r="G6" s="7" t="s">
        <v>18</v>
      </c>
      <c r="H6" s="8" t="s">
        <v>337</v>
      </c>
      <c r="I6" s="9" t="s">
        <v>17</v>
      </c>
      <c r="J6" s="8" t="s">
        <v>17</v>
      </c>
      <c r="K6" s="10" t="s">
        <v>339</v>
      </c>
      <c r="L6" s="8" t="s">
        <v>15</v>
      </c>
    </row>
    <row r="7" spans="1:13" ht="30" customHeight="1" x14ac:dyDescent="0.25">
      <c r="G7" s="7" t="s">
        <v>19</v>
      </c>
      <c r="H7" s="8" t="s">
        <v>337</v>
      </c>
      <c r="I7" s="9" t="s">
        <v>17</v>
      </c>
      <c r="J7" s="8" t="s">
        <v>17</v>
      </c>
      <c r="K7" s="10" t="s">
        <v>339</v>
      </c>
      <c r="L7" s="8" t="s">
        <v>15</v>
      </c>
    </row>
    <row r="8" spans="1:13" ht="30" customHeight="1" x14ac:dyDescent="0.25">
      <c r="G8" s="7" t="s">
        <v>20</v>
      </c>
      <c r="H8" s="8" t="s">
        <v>315</v>
      </c>
      <c r="I8" s="9"/>
      <c r="J8" s="8"/>
      <c r="K8" s="10"/>
      <c r="L8" s="8"/>
    </row>
    <row r="9" spans="1:13" ht="30" customHeight="1" x14ac:dyDescent="0.25">
      <c r="G9" s="7" t="s">
        <v>26</v>
      </c>
      <c r="H9" s="8" t="s">
        <v>315</v>
      </c>
      <c r="I9" s="9"/>
      <c r="J9" s="8"/>
      <c r="K9" s="10"/>
      <c r="L9" s="8"/>
      <c r="M9" s="13"/>
    </row>
    <row r="10" spans="1:13" ht="30" customHeight="1" x14ac:dyDescent="0.25">
      <c r="G10" s="7" t="s">
        <v>29</v>
      </c>
      <c r="H10" s="8" t="s">
        <v>315</v>
      </c>
      <c r="I10" s="9"/>
      <c r="J10" s="8"/>
      <c r="K10" s="10"/>
      <c r="L10" s="8"/>
      <c r="M10" s="13"/>
    </row>
    <row r="11" spans="1:13" ht="30" customHeight="1" x14ac:dyDescent="0.25">
      <c r="G11" s="7" t="s">
        <v>30</v>
      </c>
      <c r="H11" s="8" t="s">
        <v>315</v>
      </c>
      <c r="I11" s="9"/>
      <c r="J11" s="8"/>
      <c r="K11" s="10"/>
      <c r="L11" s="8"/>
      <c r="M11" s="13"/>
    </row>
    <row r="12" spans="1:13" ht="30" customHeight="1" x14ac:dyDescent="0.25">
      <c r="G12" s="7" t="s">
        <v>35</v>
      </c>
      <c r="H12" s="8" t="s">
        <v>315</v>
      </c>
      <c r="I12" s="9"/>
      <c r="J12" s="8"/>
      <c r="K12" s="10"/>
      <c r="L12" s="8"/>
      <c r="M12" s="13"/>
    </row>
    <row r="13" spans="1:13" ht="30" customHeight="1" x14ac:dyDescent="0.25">
      <c r="G13" s="7" t="s">
        <v>36</v>
      </c>
      <c r="H13" s="8" t="s">
        <v>315</v>
      </c>
      <c r="I13" s="9"/>
      <c r="J13" s="8"/>
      <c r="K13" s="10"/>
      <c r="L13" s="8"/>
      <c r="M13" s="13"/>
    </row>
    <row r="14" spans="1:13" ht="30" customHeight="1" x14ac:dyDescent="0.25">
      <c r="G14" s="7" t="s">
        <v>37</v>
      </c>
      <c r="H14" s="8" t="s">
        <v>315</v>
      </c>
      <c r="I14" s="9"/>
      <c r="J14" s="8"/>
      <c r="K14" s="10"/>
      <c r="L14" s="8"/>
      <c r="M14" s="13"/>
    </row>
    <row r="15" spans="1:13" ht="30" customHeight="1" x14ac:dyDescent="0.25">
      <c r="G15" s="7" t="s">
        <v>42</v>
      </c>
      <c r="H15" s="8"/>
      <c r="I15" s="9"/>
      <c r="J15" s="8"/>
      <c r="K15" s="10"/>
      <c r="L15" s="8"/>
      <c r="M15" s="13"/>
    </row>
    <row r="16" spans="1:13" ht="30" customHeight="1" x14ac:dyDescent="0.25">
      <c r="G16" s="7" t="s">
        <v>46</v>
      </c>
      <c r="H16" s="8"/>
      <c r="I16" s="9"/>
      <c r="J16" s="8"/>
      <c r="K16" s="10"/>
      <c r="L16" s="8"/>
      <c r="M16" s="13"/>
    </row>
    <row r="17" spans="7:13" ht="30" customHeight="1" x14ac:dyDescent="0.25">
      <c r="G17" s="7" t="s">
        <v>47</v>
      </c>
      <c r="H17" s="8"/>
      <c r="I17" s="9"/>
      <c r="J17" s="8"/>
      <c r="K17" s="10"/>
      <c r="L17" s="8"/>
      <c r="M17" s="13"/>
    </row>
    <row r="18" spans="7:13" ht="30" customHeight="1" x14ac:dyDescent="0.25">
      <c r="G18" s="7" t="s">
        <v>48</v>
      </c>
      <c r="H18" s="8"/>
      <c r="I18" s="9"/>
      <c r="J18" s="8"/>
      <c r="K18" s="10"/>
      <c r="L18" s="8"/>
      <c r="M18" s="13"/>
    </row>
    <row r="19" spans="7:13" ht="30" customHeight="1" x14ac:dyDescent="0.25">
      <c r="G19" s="7" t="s">
        <v>49</v>
      </c>
      <c r="H19" s="8"/>
      <c r="I19" s="9"/>
      <c r="J19" s="8"/>
      <c r="K19" s="10"/>
      <c r="L19" s="8"/>
      <c r="M19" s="13"/>
    </row>
    <row r="20" spans="7:13" ht="30" customHeight="1" x14ac:dyDescent="0.25">
      <c r="G20" s="7" t="s">
        <v>50</v>
      </c>
      <c r="H20" s="8"/>
      <c r="I20" s="9"/>
      <c r="J20" s="8"/>
      <c r="K20" s="10"/>
      <c r="L20" s="8"/>
      <c r="M20" s="13"/>
    </row>
    <row r="21" spans="7:13" ht="30" customHeight="1" x14ac:dyDescent="0.25">
      <c r="G21" s="7" t="s">
        <v>54</v>
      </c>
      <c r="H21" s="8"/>
      <c r="I21" s="9"/>
      <c r="J21" s="8"/>
      <c r="K21" s="10"/>
      <c r="L21" s="8"/>
      <c r="M21" s="13"/>
    </row>
    <row r="22" spans="7:13" ht="30" customHeight="1" x14ac:dyDescent="0.25">
      <c r="G22" s="7" t="s">
        <v>57</v>
      </c>
      <c r="H22" s="8"/>
      <c r="I22" s="9"/>
      <c r="J22" s="8"/>
      <c r="K22" s="10"/>
      <c r="L22" s="8"/>
      <c r="M22" s="13"/>
    </row>
    <row r="23" spans="7:13" ht="30" customHeight="1" x14ac:dyDescent="0.25">
      <c r="G23" s="7" t="s">
        <v>61</v>
      </c>
      <c r="H23" s="8"/>
      <c r="I23" s="9"/>
      <c r="J23" s="8"/>
      <c r="K23" s="10"/>
      <c r="L23" s="8"/>
      <c r="M23" s="13"/>
    </row>
    <row r="24" spans="7:13" ht="30" customHeight="1" x14ac:dyDescent="0.25">
      <c r="G24" s="7" t="s">
        <v>63</v>
      </c>
      <c r="H24" s="8"/>
      <c r="I24" s="9"/>
      <c r="J24" s="8"/>
      <c r="K24" s="10"/>
      <c r="L24" s="8"/>
      <c r="M24" s="13"/>
    </row>
    <row r="25" spans="7:13" ht="30" customHeight="1" x14ac:dyDescent="0.25">
      <c r="G25" s="7" t="s">
        <v>64</v>
      </c>
      <c r="H25" s="8"/>
      <c r="I25" s="8"/>
      <c r="J25" s="8"/>
      <c r="K25" s="10"/>
      <c r="L25" s="8"/>
      <c r="M25" s="13"/>
    </row>
    <row r="26" spans="7:13" ht="30" customHeight="1" x14ac:dyDescent="0.25">
      <c r="G26" s="7" t="s">
        <v>65</v>
      </c>
      <c r="H26" s="8"/>
      <c r="I26" s="9"/>
      <c r="J26" s="8"/>
      <c r="K26" s="10"/>
      <c r="L26" s="8"/>
    </row>
    <row r="27" spans="7:13" ht="30" customHeight="1" x14ac:dyDescent="0.25">
      <c r="G27" s="7" t="s">
        <v>67</v>
      </c>
      <c r="H27" s="8"/>
      <c r="I27" s="8"/>
      <c r="J27" s="8"/>
      <c r="K27" s="10"/>
      <c r="L27" s="8"/>
    </row>
    <row r="28" spans="7:13" ht="30" customHeight="1" x14ac:dyDescent="0.25">
      <c r="G28" s="7" t="s">
        <v>68</v>
      </c>
      <c r="H28" s="8"/>
      <c r="I28" s="8"/>
      <c r="J28" s="8"/>
      <c r="K28" s="10"/>
      <c r="L28" s="8"/>
    </row>
    <row r="29" spans="7:13" ht="30" customHeight="1" x14ac:dyDescent="0.25">
      <c r="G29" s="7" t="s">
        <v>69</v>
      </c>
      <c r="H29" s="8"/>
      <c r="I29" s="8"/>
      <c r="J29" s="8"/>
      <c r="K29" s="10"/>
      <c r="L29" s="8"/>
    </row>
    <row r="30" spans="7:13" ht="30" customHeight="1" x14ac:dyDescent="0.25">
      <c r="G30" s="7" t="s">
        <v>70</v>
      </c>
      <c r="H30" s="8"/>
      <c r="I30" s="9"/>
      <c r="J30" s="8"/>
      <c r="K30" s="10"/>
      <c r="L30" s="8"/>
    </row>
    <row r="31" spans="7:13" ht="30" customHeight="1" x14ac:dyDescent="0.25">
      <c r="G31" s="7" t="s">
        <v>71</v>
      </c>
      <c r="H31" s="8"/>
      <c r="I31" s="8"/>
      <c r="J31" s="8"/>
      <c r="K31" s="10"/>
      <c r="L31" s="8"/>
    </row>
    <row r="32" spans="7:13" ht="30" customHeight="1" x14ac:dyDescent="0.25">
      <c r="G32" s="7" t="s">
        <v>72</v>
      </c>
      <c r="H32" s="8"/>
      <c r="I32" s="9"/>
      <c r="J32" s="8"/>
      <c r="K32" s="10"/>
      <c r="L32" s="8"/>
    </row>
    <row r="33" spans="7:12" ht="30" customHeight="1" x14ac:dyDescent="0.25">
      <c r="G33" s="7" t="s">
        <v>73</v>
      </c>
      <c r="H33" s="8"/>
      <c r="I33" s="9"/>
      <c r="J33" s="8"/>
      <c r="K33" s="10"/>
      <c r="L33" s="8"/>
    </row>
    <row r="34" spans="7:12" ht="30" customHeight="1" x14ac:dyDescent="0.25">
      <c r="G34" s="7" t="s">
        <v>74</v>
      </c>
      <c r="H34" s="8"/>
      <c r="I34" s="9"/>
      <c r="J34" s="8"/>
      <c r="K34" s="10"/>
      <c r="L34" s="8"/>
    </row>
  </sheetData>
  <mergeCells count="3">
    <mergeCell ref="A1:E4"/>
    <mergeCell ref="G1:K1"/>
    <mergeCell ref="G2:K2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A1:J152"/>
  <sheetViews>
    <sheetView topLeftCell="A22" zoomScale="73" zoomScaleNormal="73" workbookViewId="0">
      <selection activeCell="E56" sqref="E56"/>
    </sheetView>
  </sheetViews>
  <sheetFormatPr baseColWidth="10" defaultRowHeight="15" x14ac:dyDescent="0.25"/>
  <cols>
    <col min="2" max="2" width="34" customWidth="1"/>
    <col min="3" max="3" width="16.140625" customWidth="1"/>
    <col min="4" max="4" width="15.42578125" customWidth="1"/>
    <col min="5" max="5" width="17.85546875" customWidth="1"/>
    <col min="6" max="6" width="23.28515625" customWidth="1"/>
    <col min="7" max="7" width="23" style="37" customWidth="1"/>
  </cols>
  <sheetData>
    <row r="1" spans="1:8" ht="38.25" customHeight="1" x14ac:dyDescent="0.3">
      <c r="A1" s="14" t="s">
        <v>340</v>
      </c>
      <c r="B1" s="14"/>
      <c r="C1" s="14"/>
      <c r="D1" s="14"/>
      <c r="E1" s="14"/>
      <c r="F1" s="14"/>
    </row>
    <row r="3" spans="1:8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317</v>
      </c>
      <c r="G3" s="38"/>
      <c r="H3" s="17"/>
    </row>
    <row r="4" spans="1:8" ht="20.100000000000001" customHeight="1" x14ac:dyDescent="0.25">
      <c r="A4" s="8" t="s">
        <v>10</v>
      </c>
      <c r="B4" s="18" t="str">
        <f>'[1]CAYO MUERTO 2 (15-08)'!H4</f>
        <v>VALENTINA</v>
      </c>
      <c r="C4" s="19">
        <v>23</v>
      </c>
      <c r="D4" s="19">
        <v>23</v>
      </c>
      <c r="E4" s="20">
        <f t="shared" ref="E4:E34" si="0">C4-D4</f>
        <v>0</v>
      </c>
      <c r="F4" s="21"/>
    </row>
    <row r="5" spans="1:8" ht="20.100000000000001" customHeight="1" x14ac:dyDescent="0.25">
      <c r="A5" s="8" t="s">
        <v>16</v>
      </c>
      <c r="B5" s="18" t="str">
        <f>'[1]CAYO MUERTO 2 (15-08)'!H5</f>
        <v>VALENTINA</v>
      </c>
      <c r="C5" s="19">
        <v>23</v>
      </c>
      <c r="D5" s="19">
        <v>23</v>
      </c>
      <c r="E5" s="20">
        <f t="shared" si="0"/>
        <v>0</v>
      </c>
      <c r="F5" s="21"/>
    </row>
    <row r="6" spans="1:8" ht="20.100000000000001" customHeight="1" x14ac:dyDescent="0.25">
      <c r="A6" s="8" t="s">
        <v>18</v>
      </c>
      <c r="B6" s="18" t="str">
        <f>'[1]CAYO MUERTO 2 (15-08)'!H6</f>
        <v>VALENTINA</v>
      </c>
      <c r="C6" s="19">
        <v>23</v>
      </c>
      <c r="D6" s="19">
        <v>23</v>
      </c>
      <c r="E6" s="20">
        <f t="shared" si="0"/>
        <v>0</v>
      </c>
      <c r="F6" s="21"/>
    </row>
    <row r="7" spans="1:8" ht="20.100000000000001" customHeight="1" x14ac:dyDescent="0.25">
      <c r="A7" s="8" t="s">
        <v>19</v>
      </c>
      <c r="B7" s="18" t="str">
        <f>'[1]CAYO MUERTO 2 (15-08)'!H7</f>
        <v>VALENTINA</v>
      </c>
      <c r="C7" s="19">
        <v>23</v>
      </c>
      <c r="D7" s="19">
        <v>23</v>
      </c>
      <c r="E7" s="20">
        <f t="shared" si="0"/>
        <v>0</v>
      </c>
      <c r="F7" s="21"/>
    </row>
    <row r="8" spans="1:8" ht="20.100000000000001" customHeight="1" x14ac:dyDescent="0.25">
      <c r="A8" s="8" t="s">
        <v>20</v>
      </c>
      <c r="B8" s="18" t="str">
        <f>'[1]CAYO MUERTO 2 (15-08)'!H8</f>
        <v>TOUR AZUL</v>
      </c>
      <c r="C8" s="19"/>
      <c r="D8" s="19"/>
      <c r="E8" s="20">
        <f t="shared" si="0"/>
        <v>0</v>
      </c>
      <c r="F8" s="21"/>
    </row>
    <row r="9" spans="1:8" ht="20.100000000000001" customHeight="1" x14ac:dyDescent="0.25">
      <c r="A9" s="8" t="s">
        <v>26</v>
      </c>
      <c r="B9" s="18" t="str">
        <f>'[1]CAYO MUERTO 2 (15-08)'!H9</f>
        <v>TOUR AZUL</v>
      </c>
      <c r="C9" s="19"/>
      <c r="D9" s="19"/>
      <c r="E9" s="20">
        <f t="shared" si="0"/>
        <v>0</v>
      </c>
      <c r="F9" s="21"/>
    </row>
    <row r="10" spans="1:8" ht="20.100000000000001" customHeight="1" x14ac:dyDescent="0.25">
      <c r="A10" s="8" t="s">
        <v>29</v>
      </c>
      <c r="B10" s="18" t="str">
        <f>'[1]CAYO MUERTO 2 (15-08)'!H10</f>
        <v>TOUR AZUL</v>
      </c>
      <c r="C10" s="19"/>
      <c r="D10" s="19"/>
      <c r="E10" s="20">
        <f t="shared" si="0"/>
        <v>0</v>
      </c>
      <c r="F10" s="21"/>
    </row>
    <row r="11" spans="1:8" ht="20.100000000000001" customHeight="1" x14ac:dyDescent="0.25">
      <c r="A11" s="8" t="s">
        <v>30</v>
      </c>
      <c r="B11" s="18" t="str">
        <f>'[1]CAYO MUERTO 2 (15-08)'!H11</f>
        <v>TOUR AZUL</v>
      </c>
      <c r="C11" s="19"/>
      <c r="D11" s="19"/>
      <c r="E11" s="20">
        <f t="shared" si="0"/>
        <v>0</v>
      </c>
      <c r="F11" s="21"/>
    </row>
    <row r="12" spans="1:8" ht="20.100000000000001" customHeight="1" x14ac:dyDescent="0.25">
      <c r="A12" s="8" t="s">
        <v>35</v>
      </c>
      <c r="B12" s="18" t="str">
        <f>'[1]CAYO MUERTO 2 (15-08)'!H12</f>
        <v>TOUR AZUL</v>
      </c>
      <c r="C12" s="19"/>
      <c r="D12" s="19"/>
      <c r="E12" s="20">
        <f t="shared" si="0"/>
        <v>0</v>
      </c>
      <c r="F12" s="21"/>
    </row>
    <row r="13" spans="1:8" ht="20.100000000000001" customHeight="1" x14ac:dyDescent="0.25">
      <c r="A13" s="8" t="s">
        <v>36</v>
      </c>
      <c r="B13" s="18" t="str">
        <f>'[1]CAYO MUERTO 2 (15-08)'!H13</f>
        <v>TOUR AZUL</v>
      </c>
      <c r="C13" s="19"/>
      <c r="D13" s="19"/>
      <c r="E13" s="20">
        <f t="shared" si="0"/>
        <v>0</v>
      </c>
      <c r="F13" s="21"/>
    </row>
    <row r="14" spans="1:8" ht="20.100000000000001" customHeight="1" x14ac:dyDescent="0.25">
      <c r="A14" s="8" t="s">
        <v>37</v>
      </c>
      <c r="B14" s="18" t="str">
        <f>'[1]CAYO MUERTO 2 (15-08)'!H14</f>
        <v>TOUR AZUL</v>
      </c>
      <c r="C14" s="19"/>
      <c r="D14" s="19"/>
      <c r="E14" s="20">
        <f t="shared" si="0"/>
        <v>0</v>
      </c>
      <c r="F14" s="21"/>
    </row>
    <row r="15" spans="1:8" ht="20.100000000000001" customHeight="1" x14ac:dyDescent="0.25">
      <c r="A15" s="8" t="s">
        <v>42</v>
      </c>
      <c r="B15" s="18">
        <f>'[1]CAYO MUERTO 2 (15-08)'!H15</f>
        <v>0</v>
      </c>
      <c r="C15" s="19"/>
      <c r="D15" s="19"/>
      <c r="E15" s="20">
        <f t="shared" si="0"/>
        <v>0</v>
      </c>
      <c r="F15" s="21"/>
    </row>
    <row r="16" spans="1:8" ht="20.100000000000001" customHeight="1" x14ac:dyDescent="0.25">
      <c r="A16" s="8" t="s">
        <v>46</v>
      </c>
      <c r="B16" s="18">
        <f>'[1]CAYO MUERTO 2 (15-08)'!H16</f>
        <v>0</v>
      </c>
      <c r="C16" s="19"/>
      <c r="D16" s="19"/>
      <c r="E16" s="20">
        <f t="shared" si="0"/>
        <v>0</v>
      </c>
      <c r="F16" s="21"/>
    </row>
    <row r="17" spans="1:6" ht="20.100000000000001" customHeight="1" x14ac:dyDescent="0.25">
      <c r="A17" s="8" t="s">
        <v>47</v>
      </c>
      <c r="B17" s="18">
        <f>'[1]CAYO MUERTO 2 (15-08)'!H17</f>
        <v>0</v>
      </c>
      <c r="C17" s="19"/>
      <c r="D17" s="19"/>
      <c r="E17" s="20">
        <f t="shared" si="0"/>
        <v>0</v>
      </c>
      <c r="F17" s="21"/>
    </row>
    <row r="18" spans="1:6" ht="20.100000000000001" customHeight="1" x14ac:dyDescent="0.25">
      <c r="A18" s="8" t="s">
        <v>48</v>
      </c>
      <c r="B18" s="18">
        <f>'[1]CAYO MUERTO 2 (15-08)'!H18</f>
        <v>0</v>
      </c>
      <c r="C18" s="19"/>
      <c r="D18" s="19"/>
      <c r="E18" s="20">
        <f t="shared" si="0"/>
        <v>0</v>
      </c>
      <c r="F18" s="21"/>
    </row>
    <row r="19" spans="1:6" ht="20.100000000000001" customHeight="1" x14ac:dyDescent="0.25">
      <c r="A19" s="8" t="s">
        <v>49</v>
      </c>
      <c r="B19" s="18">
        <f>'[1]CAYO MUERTO 2 (15-08)'!H19</f>
        <v>0</v>
      </c>
      <c r="C19" s="19"/>
      <c r="D19" s="19"/>
      <c r="E19" s="20">
        <f t="shared" si="0"/>
        <v>0</v>
      </c>
      <c r="F19" s="21"/>
    </row>
    <row r="20" spans="1:6" ht="20.100000000000001" customHeight="1" x14ac:dyDescent="0.25">
      <c r="A20" s="8" t="s">
        <v>50</v>
      </c>
      <c r="B20" s="18">
        <f>'[1]CAYO MUERTO 2 (15-08)'!H20</f>
        <v>0</v>
      </c>
      <c r="C20" s="19"/>
      <c r="D20" s="19"/>
      <c r="E20" s="20">
        <f t="shared" si="0"/>
        <v>0</v>
      </c>
      <c r="F20" s="21"/>
    </row>
    <row r="21" spans="1:6" ht="20.100000000000001" customHeight="1" x14ac:dyDescent="0.25">
      <c r="A21" s="8" t="s">
        <v>54</v>
      </c>
      <c r="B21" s="18">
        <f>'[1]CAYO MUERTO 2 (15-08)'!H21</f>
        <v>0</v>
      </c>
      <c r="C21" s="19"/>
      <c r="D21" s="19"/>
      <c r="E21" s="20">
        <f t="shared" si="0"/>
        <v>0</v>
      </c>
      <c r="F21" s="21"/>
    </row>
    <row r="22" spans="1:6" ht="20.100000000000001" customHeight="1" x14ac:dyDescent="0.25">
      <c r="A22" s="8" t="s">
        <v>57</v>
      </c>
      <c r="B22" s="18">
        <f>'[1]CAYO MUERTO 2 (15-08)'!H22</f>
        <v>0</v>
      </c>
      <c r="C22" s="19"/>
      <c r="D22" s="19"/>
      <c r="E22" s="20">
        <f t="shared" si="0"/>
        <v>0</v>
      </c>
      <c r="F22" s="21"/>
    </row>
    <row r="23" spans="1:6" ht="20.100000000000001" customHeight="1" x14ac:dyDescent="0.25">
      <c r="A23" s="8" t="s">
        <v>61</v>
      </c>
      <c r="B23" s="18">
        <f>'[1]CAYO MUERTO 2 (15-08)'!H23</f>
        <v>0</v>
      </c>
      <c r="C23" s="19"/>
      <c r="D23" s="19"/>
      <c r="E23" s="20">
        <f t="shared" si="0"/>
        <v>0</v>
      </c>
      <c r="F23" s="21"/>
    </row>
    <row r="24" spans="1:6" ht="20.100000000000001" customHeight="1" x14ac:dyDescent="0.25">
      <c r="A24" s="8" t="s">
        <v>63</v>
      </c>
      <c r="B24" s="18">
        <f>'[1]CAYO MUERTO 2 (15-08)'!H24</f>
        <v>0</v>
      </c>
      <c r="C24" s="19"/>
      <c r="D24" s="19"/>
      <c r="E24" s="20">
        <f t="shared" si="0"/>
        <v>0</v>
      </c>
      <c r="F24" s="21"/>
    </row>
    <row r="25" spans="1:6" ht="20.100000000000001" customHeight="1" x14ac:dyDescent="0.25">
      <c r="A25" s="8" t="s">
        <v>64</v>
      </c>
      <c r="B25" s="18">
        <f>'[1]CAYO MUERTO 2 (15-08)'!H25</f>
        <v>0</v>
      </c>
      <c r="C25" s="19"/>
      <c r="D25" s="19"/>
      <c r="E25" s="20">
        <f t="shared" si="0"/>
        <v>0</v>
      </c>
      <c r="F25" s="21"/>
    </row>
    <row r="26" spans="1:6" ht="20.100000000000001" customHeight="1" x14ac:dyDescent="0.25">
      <c r="A26" s="8" t="s">
        <v>65</v>
      </c>
      <c r="B26" s="18">
        <f>'[1]CAYO MUERTO 2 (15-08)'!H26</f>
        <v>0</v>
      </c>
      <c r="C26" s="19"/>
      <c r="D26" s="19"/>
      <c r="E26" s="20">
        <f t="shared" si="0"/>
        <v>0</v>
      </c>
      <c r="F26" s="21"/>
    </row>
    <row r="27" spans="1:6" ht="20.100000000000001" customHeight="1" x14ac:dyDescent="0.25">
      <c r="A27" s="8" t="s">
        <v>67</v>
      </c>
      <c r="B27" s="18">
        <f>'[1]CAYO MUERTO 2 (15-08)'!H27</f>
        <v>0</v>
      </c>
      <c r="C27" s="19"/>
      <c r="D27" s="19"/>
      <c r="E27" s="20">
        <f t="shared" si="0"/>
        <v>0</v>
      </c>
      <c r="F27" s="21"/>
    </row>
    <row r="28" spans="1:6" ht="20.100000000000001" customHeight="1" x14ac:dyDescent="0.25">
      <c r="A28" s="8" t="s">
        <v>68</v>
      </c>
      <c r="B28" s="18">
        <f>'[1]CAYO MUERTO 2 (15-08)'!H28</f>
        <v>0</v>
      </c>
      <c r="C28" s="19"/>
      <c r="D28" s="19"/>
      <c r="E28" s="20">
        <f t="shared" si="0"/>
        <v>0</v>
      </c>
      <c r="F28" s="21"/>
    </row>
    <row r="29" spans="1:6" ht="20.100000000000001" customHeight="1" x14ac:dyDescent="0.25">
      <c r="A29" s="8" t="s">
        <v>69</v>
      </c>
      <c r="B29" s="18">
        <f>'[1]CAYO MUERTO 2 (15-08)'!H29</f>
        <v>0</v>
      </c>
      <c r="C29" s="19"/>
      <c r="D29" s="19"/>
      <c r="E29" s="20">
        <f t="shared" si="0"/>
        <v>0</v>
      </c>
      <c r="F29" s="21"/>
    </row>
    <row r="30" spans="1:6" ht="20.100000000000001" customHeight="1" x14ac:dyDescent="0.25">
      <c r="A30" s="8" t="s">
        <v>70</v>
      </c>
      <c r="B30" s="18">
        <f>'[1]CAYO MUERTO 2 (15-08)'!H30</f>
        <v>0</v>
      </c>
      <c r="C30" s="19"/>
      <c r="D30" s="19"/>
      <c r="E30" s="20">
        <f t="shared" si="0"/>
        <v>0</v>
      </c>
      <c r="F30" s="21"/>
    </row>
    <row r="31" spans="1:6" ht="20.100000000000001" customHeight="1" x14ac:dyDescent="0.25">
      <c r="A31" s="8" t="s">
        <v>71</v>
      </c>
      <c r="B31" s="18">
        <f>'[1]CAYO MUERTO 2 (15-08)'!H31</f>
        <v>0</v>
      </c>
      <c r="C31" s="19"/>
      <c r="D31" s="19"/>
      <c r="E31" s="20">
        <f t="shared" si="0"/>
        <v>0</v>
      </c>
      <c r="F31" s="21"/>
    </row>
    <row r="32" spans="1:6" ht="20.100000000000001" customHeight="1" x14ac:dyDescent="0.25">
      <c r="A32" s="8" t="s">
        <v>72</v>
      </c>
      <c r="B32" s="18">
        <f>'[1]CAYO MUERTO 2 (15-08)'!H32</f>
        <v>0</v>
      </c>
      <c r="C32" s="19"/>
      <c r="D32" s="19"/>
      <c r="E32" s="20">
        <f t="shared" si="0"/>
        <v>0</v>
      </c>
      <c r="F32" s="21"/>
    </row>
    <row r="33" spans="1:7" ht="20.100000000000001" customHeight="1" x14ac:dyDescent="0.25">
      <c r="A33" s="8" t="s">
        <v>73</v>
      </c>
      <c r="B33" s="18">
        <f>'[1]CAYO MUERTO 2 (15-08)'!H33</f>
        <v>0</v>
      </c>
      <c r="C33" s="19"/>
      <c r="D33" s="19"/>
      <c r="E33" s="20">
        <f t="shared" si="0"/>
        <v>0</v>
      </c>
      <c r="F33" s="21"/>
    </row>
    <row r="34" spans="1:7" ht="20.100000000000001" customHeight="1" x14ac:dyDescent="0.25">
      <c r="A34" s="8" t="s">
        <v>74</v>
      </c>
      <c r="B34" s="18">
        <f>'[1]CAYO MUERTO 2 (15-08)'!H34</f>
        <v>0</v>
      </c>
      <c r="C34" s="19"/>
      <c r="D34" s="19"/>
      <c r="E34" s="20">
        <f t="shared" si="0"/>
        <v>0</v>
      </c>
      <c r="F34" s="21"/>
    </row>
    <row r="35" spans="1:7" ht="20.100000000000001" customHeight="1" x14ac:dyDescent="0.25"/>
    <row r="36" spans="1:7" ht="20.100000000000001" customHeight="1" x14ac:dyDescent="0.25">
      <c r="B36" s="15" t="s">
        <v>79</v>
      </c>
      <c r="C36" s="22">
        <f>SUM(C4:C34)</f>
        <v>92</v>
      </c>
      <c r="D36" s="22">
        <f>SUM(D4:D34)</f>
        <v>92</v>
      </c>
      <c r="E36" s="22">
        <f>SUM(E4:E34)</f>
        <v>0</v>
      </c>
      <c r="F36" s="22">
        <f>SUM(F4:F34)</f>
        <v>0</v>
      </c>
    </row>
    <row r="48" spans="1:7" ht="29.25" customHeight="1" x14ac:dyDescent="0.45">
      <c r="A48" s="23" t="s">
        <v>80</v>
      </c>
      <c r="B48" s="23"/>
      <c r="C48" s="23"/>
      <c r="D48" s="23"/>
      <c r="E48" s="23"/>
      <c r="F48" s="23"/>
      <c r="G48" s="23"/>
    </row>
    <row r="49" spans="1:10" ht="30" customHeight="1" x14ac:dyDescent="0.25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39" t="s">
        <v>85</v>
      </c>
    </row>
    <row r="50" spans="1:10" ht="20.100000000000001" customHeight="1" x14ac:dyDescent="0.25">
      <c r="A50" s="25" t="s">
        <v>10</v>
      </c>
      <c r="B50" s="26" t="s">
        <v>337</v>
      </c>
      <c r="C50" s="27">
        <v>34913.51</v>
      </c>
      <c r="D50" s="26">
        <v>872.84</v>
      </c>
      <c r="E50" s="26">
        <v>40</v>
      </c>
      <c r="F50" s="26" t="s">
        <v>341</v>
      </c>
      <c r="G50" s="28">
        <v>46240</v>
      </c>
      <c r="H50" s="29"/>
      <c r="I50" s="30"/>
      <c r="J50" s="30"/>
    </row>
    <row r="51" spans="1:10" ht="20.100000000000001" customHeight="1" x14ac:dyDescent="0.25">
      <c r="A51" s="25" t="s">
        <v>16</v>
      </c>
      <c r="B51" s="26" t="s">
        <v>337</v>
      </c>
      <c r="C51" s="27">
        <v>22669.26</v>
      </c>
      <c r="D51" s="26">
        <v>871.89</v>
      </c>
      <c r="E51" s="26">
        <v>26</v>
      </c>
      <c r="F51" s="26" t="s">
        <v>342</v>
      </c>
      <c r="G51" s="28">
        <v>46243</v>
      </c>
      <c r="H51" s="29"/>
      <c r="I51" s="30"/>
      <c r="J51" s="30"/>
    </row>
    <row r="52" spans="1:10" ht="20.100000000000001" customHeight="1" x14ac:dyDescent="0.25">
      <c r="A52" s="25" t="s">
        <v>18</v>
      </c>
      <c r="B52" s="26" t="s">
        <v>337</v>
      </c>
      <c r="C52" s="27">
        <v>22669.26</v>
      </c>
      <c r="D52" s="26">
        <v>871.89</v>
      </c>
      <c r="E52" s="26">
        <v>26</v>
      </c>
      <c r="F52" s="26" t="s">
        <v>343</v>
      </c>
      <c r="G52" s="28">
        <v>46243</v>
      </c>
      <c r="H52" s="32"/>
      <c r="I52" s="32"/>
      <c r="J52" s="32"/>
    </row>
    <row r="53" spans="1:10" ht="20.100000000000001" customHeight="1" x14ac:dyDescent="0.25">
      <c r="A53" s="25" t="s">
        <v>19</v>
      </c>
      <c r="B53" s="26" t="s">
        <v>337</v>
      </c>
      <c r="C53" s="27"/>
      <c r="D53" s="26"/>
      <c r="E53" s="26"/>
      <c r="F53" s="26"/>
      <c r="G53" s="28"/>
      <c r="H53" s="32"/>
      <c r="I53" s="32"/>
      <c r="J53" s="32"/>
    </row>
    <row r="54" spans="1:10" ht="20.100000000000001" customHeight="1" x14ac:dyDescent="0.25">
      <c r="H54" s="30"/>
      <c r="I54" s="30"/>
      <c r="J54" s="30"/>
    </row>
    <row r="55" spans="1:10" ht="20.100000000000001" customHeight="1" x14ac:dyDescent="0.25">
      <c r="H55" s="30"/>
      <c r="I55" s="30"/>
      <c r="J55" s="30"/>
    </row>
    <row r="56" spans="1:10" ht="20.100000000000001" customHeight="1" x14ac:dyDescent="0.25">
      <c r="H56" s="32"/>
      <c r="I56" s="32"/>
      <c r="J56" s="32"/>
    </row>
    <row r="57" spans="1:10" ht="20.100000000000001" customHeight="1" x14ac:dyDescent="0.25">
      <c r="A57" s="25" t="s">
        <v>20</v>
      </c>
      <c r="B57" s="26" t="s">
        <v>315</v>
      </c>
      <c r="C57" s="27"/>
      <c r="D57" s="26"/>
      <c r="E57" s="26"/>
      <c r="F57" s="26"/>
      <c r="G57" s="28"/>
      <c r="H57" s="32"/>
      <c r="I57" s="32"/>
      <c r="J57" s="32"/>
    </row>
    <row r="58" spans="1:10" ht="20.100000000000001" customHeight="1" x14ac:dyDescent="0.25">
      <c r="A58" s="25" t="s">
        <v>26</v>
      </c>
      <c r="B58" s="26" t="s">
        <v>315</v>
      </c>
      <c r="C58" s="27"/>
      <c r="D58" s="26"/>
      <c r="E58" s="26"/>
      <c r="F58" s="26"/>
      <c r="G58" s="28"/>
      <c r="H58" s="32"/>
      <c r="I58" s="32"/>
      <c r="J58" s="32"/>
    </row>
    <row r="59" spans="1:10" ht="20.100000000000001" customHeight="1" x14ac:dyDescent="0.25">
      <c r="A59" s="25" t="s">
        <v>29</v>
      </c>
      <c r="B59" s="26" t="s">
        <v>315</v>
      </c>
      <c r="C59" s="27"/>
      <c r="D59" s="26"/>
      <c r="E59" s="26"/>
      <c r="F59" s="26"/>
      <c r="G59" s="28"/>
      <c r="H59" s="30"/>
      <c r="I59" s="30"/>
      <c r="J59" s="30"/>
    </row>
    <row r="60" spans="1:10" ht="20.100000000000001" customHeight="1" x14ac:dyDescent="0.25">
      <c r="A60" s="25" t="s">
        <v>30</v>
      </c>
      <c r="B60" s="26" t="s">
        <v>315</v>
      </c>
      <c r="C60" s="27"/>
      <c r="D60" s="26"/>
      <c r="E60" s="26"/>
      <c r="F60" s="26"/>
      <c r="G60" s="28"/>
      <c r="H60" s="30"/>
      <c r="I60" s="30"/>
      <c r="J60" s="30"/>
    </row>
    <row r="61" spans="1:10" ht="20.100000000000001" customHeight="1" x14ac:dyDescent="0.25">
      <c r="A61" s="25" t="s">
        <v>35</v>
      </c>
      <c r="B61" s="26" t="s">
        <v>315</v>
      </c>
      <c r="C61" s="27"/>
      <c r="D61" s="26"/>
      <c r="E61" s="26"/>
      <c r="F61" s="26"/>
      <c r="G61" s="28"/>
      <c r="H61" s="30"/>
      <c r="I61" s="30"/>
      <c r="J61" s="30"/>
    </row>
    <row r="62" spans="1:10" ht="20.100000000000001" customHeight="1" x14ac:dyDescent="0.25">
      <c r="A62" s="25" t="s">
        <v>36</v>
      </c>
      <c r="B62" s="26" t="s">
        <v>315</v>
      </c>
      <c r="C62" s="27"/>
      <c r="D62" s="26"/>
      <c r="E62" s="26"/>
      <c r="F62" s="26"/>
      <c r="G62" s="28"/>
      <c r="H62" s="32"/>
      <c r="I62" s="32"/>
      <c r="J62" s="32"/>
    </row>
    <row r="63" spans="1:10" ht="20.100000000000001" customHeight="1" x14ac:dyDescent="0.25">
      <c r="A63" s="25" t="s">
        <v>37</v>
      </c>
      <c r="B63" s="26" t="s">
        <v>315</v>
      </c>
      <c r="C63" s="27"/>
      <c r="D63" s="26"/>
      <c r="E63" s="26"/>
      <c r="F63" s="26"/>
      <c r="G63" s="28"/>
      <c r="H63" s="32"/>
      <c r="I63" s="32"/>
      <c r="J63" s="32"/>
    </row>
    <row r="64" spans="1:10" ht="20.100000000000001" customHeight="1" x14ac:dyDescent="0.25">
      <c r="H64" s="32"/>
      <c r="I64" s="30"/>
      <c r="J64" s="30"/>
    </row>
    <row r="65" spans="1:10" ht="20.100000000000001" customHeight="1" x14ac:dyDescent="0.25">
      <c r="H65" s="32"/>
      <c r="I65" s="30"/>
      <c r="J65" s="30"/>
    </row>
    <row r="66" spans="1:10" ht="20.100000000000001" customHeight="1" x14ac:dyDescent="0.25">
      <c r="H66" s="32"/>
      <c r="I66" s="30"/>
      <c r="J66" s="30"/>
    </row>
    <row r="67" spans="1:10" ht="20.100000000000001" customHeight="1" x14ac:dyDescent="0.25">
      <c r="A67" s="25" t="s">
        <v>42</v>
      </c>
      <c r="B67" s="26" t="s">
        <v>344</v>
      </c>
      <c r="C67" s="27"/>
      <c r="D67" s="26"/>
      <c r="E67" s="26"/>
      <c r="F67" s="26"/>
      <c r="G67" s="28"/>
      <c r="H67" s="32"/>
      <c r="I67" s="30"/>
      <c r="J67" s="30"/>
    </row>
    <row r="68" spans="1:10" ht="20.100000000000001" customHeight="1" x14ac:dyDescent="0.25">
      <c r="A68" s="25" t="s">
        <v>46</v>
      </c>
      <c r="B68" s="26" t="s">
        <v>344</v>
      </c>
      <c r="C68" s="27"/>
      <c r="D68" s="26"/>
      <c r="E68" s="26"/>
      <c r="F68" s="26"/>
      <c r="G68" s="28"/>
      <c r="H68" s="32"/>
    </row>
    <row r="69" spans="1:10" ht="20.100000000000001" customHeight="1" x14ac:dyDescent="0.25">
      <c r="A69" s="25" t="s">
        <v>47</v>
      </c>
      <c r="B69" s="26" t="s">
        <v>344</v>
      </c>
      <c r="C69" s="27"/>
      <c r="D69" s="26"/>
      <c r="E69" s="26"/>
      <c r="F69" s="26"/>
      <c r="G69" s="28"/>
      <c r="H69" s="32"/>
    </row>
    <row r="70" spans="1:10" ht="20.100000000000001" customHeight="1" x14ac:dyDescent="0.25">
      <c r="A70" s="25" t="s">
        <v>48</v>
      </c>
      <c r="B70" s="26" t="s">
        <v>344</v>
      </c>
      <c r="C70" s="27"/>
      <c r="D70" s="26"/>
      <c r="E70" s="26"/>
      <c r="F70" s="26"/>
      <c r="G70" s="28"/>
      <c r="H70" s="32"/>
    </row>
    <row r="71" spans="1:10" ht="20.100000000000001" customHeight="1" x14ac:dyDescent="0.25">
      <c r="A71" s="25" t="s">
        <v>49</v>
      </c>
      <c r="B71" s="26" t="s">
        <v>344</v>
      </c>
      <c r="C71" s="27"/>
      <c r="D71" s="26"/>
      <c r="E71" s="26"/>
      <c r="F71" s="26"/>
      <c r="G71" s="28"/>
      <c r="H71" s="32"/>
    </row>
    <row r="72" spans="1:10" ht="20.100000000000001" customHeight="1" x14ac:dyDescent="0.25">
      <c r="A72" s="25" t="s">
        <v>50</v>
      </c>
      <c r="B72" s="26" t="s">
        <v>344</v>
      </c>
      <c r="C72" s="27"/>
      <c r="D72" s="26"/>
      <c r="E72" s="26"/>
      <c r="F72" s="26"/>
      <c r="G72" s="28"/>
      <c r="H72" s="32"/>
    </row>
    <row r="73" spans="1:10" ht="20.100000000000001" customHeight="1" x14ac:dyDescent="0.25">
      <c r="A73" s="25" t="s">
        <v>54</v>
      </c>
      <c r="B73" s="26" t="s">
        <v>344</v>
      </c>
      <c r="C73" s="27"/>
      <c r="D73" s="26"/>
      <c r="E73" s="26"/>
      <c r="F73" s="26"/>
      <c r="G73" s="28"/>
      <c r="H73" s="32"/>
    </row>
    <row r="74" spans="1:10" ht="20.100000000000001" customHeight="1" x14ac:dyDescent="0.25">
      <c r="A74" s="25" t="s">
        <v>57</v>
      </c>
      <c r="B74" s="26" t="s">
        <v>344</v>
      </c>
      <c r="C74" s="27"/>
      <c r="D74" s="26"/>
      <c r="E74" s="26"/>
      <c r="F74" s="26"/>
      <c r="G74" s="28"/>
    </row>
    <row r="75" spans="1:10" ht="20.100000000000001" customHeight="1" x14ac:dyDescent="0.25">
      <c r="A75" s="25" t="s">
        <v>61</v>
      </c>
      <c r="B75" s="26" t="s">
        <v>344</v>
      </c>
      <c r="C75" s="27"/>
      <c r="D75" s="26"/>
      <c r="E75" s="26"/>
      <c r="F75" s="26"/>
      <c r="G75" s="28"/>
    </row>
    <row r="76" spans="1:10" ht="20.100000000000001" customHeight="1" x14ac:dyDescent="0.25">
      <c r="A76" s="25" t="s">
        <v>63</v>
      </c>
      <c r="B76" s="26" t="s">
        <v>344</v>
      </c>
      <c r="C76" s="27"/>
      <c r="D76" s="26"/>
      <c r="E76" s="26"/>
      <c r="F76" s="26"/>
      <c r="G76" s="28"/>
    </row>
    <row r="77" spans="1:10" ht="20.100000000000001" customHeight="1" x14ac:dyDescent="0.25">
      <c r="A77" s="25" t="s">
        <v>64</v>
      </c>
      <c r="B77" s="26" t="s">
        <v>344</v>
      </c>
      <c r="C77" s="27"/>
      <c r="D77" s="26"/>
      <c r="E77" s="26"/>
      <c r="F77" s="26"/>
      <c r="G77" s="28"/>
    </row>
    <row r="78" spans="1:10" ht="20.100000000000001" customHeight="1" x14ac:dyDescent="0.25">
      <c r="A78" s="25" t="s">
        <v>65</v>
      </c>
      <c r="B78" s="26" t="s">
        <v>344</v>
      </c>
      <c r="C78" s="27"/>
      <c r="D78" s="26"/>
      <c r="E78" s="26"/>
      <c r="F78" s="26"/>
      <c r="G78" s="28"/>
    </row>
    <row r="79" spans="1:10" ht="20.100000000000001" customHeight="1" x14ac:dyDescent="0.25">
      <c r="A79" s="25" t="s">
        <v>67</v>
      </c>
      <c r="B79" s="26" t="s">
        <v>344</v>
      </c>
      <c r="C79" s="27"/>
      <c r="D79" s="26"/>
      <c r="E79" s="26"/>
      <c r="F79" s="26"/>
      <c r="G79" s="28"/>
    </row>
    <row r="80" spans="1:10" ht="20.100000000000001" customHeight="1" x14ac:dyDescent="0.25">
      <c r="A80" s="25" t="s">
        <v>68</v>
      </c>
      <c r="B80" s="26" t="s">
        <v>344</v>
      </c>
      <c r="C80" s="27"/>
      <c r="D80" s="26"/>
      <c r="E80" s="26"/>
      <c r="F80" s="26"/>
      <c r="G80" s="28"/>
    </row>
    <row r="81" spans="1:7" ht="20.100000000000001" customHeight="1" x14ac:dyDescent="0.25">
      <c r="A81" s="25" t="s">
        <v>69</v>
      </c>
      <c r="B81" s="26" t="s">
        <v>344</v>
      </c>
      <c r="C81" s="27"/>
      <c r="D81" s="26"/>
      <c r="E81" s="26"/>
      <c r="F81" s="26"/>
      <c r="G81" s="28"/>
    </row>
    <row r="82" spans="1:7" ht="20.100000000000001" customHeight="1" x14ac:dyDescent="0.25">
      <c r="A82" s="25" t="s">
        <v>70</v>
      </c>
      <c r="B82" s="26" t="s">
        <v>344</v>
      </c>
      <c r="C82" s="27"/>
      <c r="D82" s="26"/>
      <c r="E82" s="26"/>
      <c r="F82" s="26"/>
      <c r="G82" s="28"/>
    </row>
    <row r="83" spans="1:7" ht="20.100000000000001" customHeight="1" x14ac:dyDescent="0.25">
      <c r="A83" s="25" t="s">
        <v>71</v>
      </c>
      <c r="B83" s="26" t="s">
        <v>344</v>
      </c>
      <c r="C83" s="27"/>
      <c r="D83" s="26"/>
      <c r="E83" s="26"/>
      <c r="F83" s="26"/>
      <c r="G83" s="28"/>
    </row>
    <row r="84" spans="1:7" ht="20.100000000000001" customHeight="1" x14ac:dyDescent="0.25">
      <c r="A84" s="25" t="s">
        <v>72</v>
      </c>
      <c r="B84" s="26" t="s">
        <v>344</v>
      </c>
      <c r="C84" s="27"/>
      <c r="D84" s="26"/>
      <c r="E84" s="26"/>
      <c r="F84" s="26"/>
      <c r="G84" s="28"/>
    </row>
    <row r="85" spans="1:7" ht="20.100000000000001" customHeight="1" x14ac:dyDescent="0.25">
      <c r="A85" s="25" t="s">
        <v>73</v>
      </c>
      <c r="B85" s="26" t="s">
        <v>344</v>
      </c>
      <c r="C85" s="27"/>
      <c r="D85" s="26"/>
      <c r="E85" s="26"/>
      <c r="F85" s="26"/>
      <c r="G85" s="28"/>
    </row>
    <row r="86" spans="1:7" ht="20.100000000000001" customHeight="1" x14ac:dyDescent="0.25">
      <c r="A86" s="25" t="s">
        <v>74</v>
      </c>
      <c r="B86" s="26" t="s">
        <v>344</v>
      </c>
      <c r="C86" s="27"/>
      <c r="D86" s="26"/>
      <c r="E86" s="26"/>
      <c r="F86" s="26"/>
      <c r="G86" s="28"/>
    </row>
    <row r="87" spans="1:7" ht="20.100000000000001" customHeight="1" x14ac:dyDescent="0.25"/>
    <row r="88" spans="1:7" ht="20.100000000000001" customHeight="1" x14ac:dyDescent="0.25"/>
    <row r="89" spans="1:7" ht="20.100000000000001" customHeight="1" x14ac:dyDescent="0.25"/>
    <row r="90" spans="1:7" ht="20.100000000000001" customHeight="1" x14ac:dyDescent="0.25"/>
    <row r="91" spans="1:7" ht="20.100000000000001" customHeight="1" x14ac:dyDescent="0.25"/>
    <row r="92" spans="1:7" ht="20.100000000000001" customHeight="1" x14ac:dyDescent="0.25"/>
    <row r="93" spans="1:7" ht="20.100000000000001" customHeight="1" x14ac:dyDescent="0.25"/>
    <row r="94" spans="1:7" ht="20.100000000000001" customHeight="1" x14ac:dyDescent="0.25"/>
    <row r="95" spans="1:7" ht="20.100000000000001" customHeight="1" x14ac:dyDescent="0.25"/>
    <row r="96" spans="1:7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</sheetData>
  <mergeCells count="2">
    <mergeCell ref="A1:F1"/>
    <mergeCell ref="A48:G48"/>
  </mergeCells>
  <pageMargins left="0.7" right="0.7" top="0.75" bottom="0.75" header="0.3" footer="0.3"/>
  <pageSetup scale="78" fitToHeight="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A1:M34"/>
  <sheetViews>
    <sheetView zoomScale="62" zoomScaleNormal="62" workbookViewId="0">
      <selection activeCell="I26" sqref="I26"/>
    </sheetView>
  </sheetViews>
  <sheetFormatPr baseColWidth="10" defaultRowHeight="15" x14ac:dyDescent="0.25"/>
  <cols>
    <col min="1" max="1" width="57.42578125" customWidth="1"/>
    <col min="8" max="8" width="36.42578125" customWidth="1"/>
    <col min="9" max="9" width="15.85546875" customWidth="1"/>
    <col min="10" max="10" width="18" customWidth="1"/>
    <col min="11" max="11" width="57.85546875" customWidth="1"/>
    <col min="12" max="12" width="34.5703125" customWidth="1"/>
    <col min="13" max="13" width="23.140625" customWidth="1"/>
  </cols>
  <sheetData>
    <row r="1" spans="1:13" ht="73.5" customHeight="1" x14ac:dyDescent="0.25">
      <c r="A1" s="1" t="s">
        <v>345</v>
      </c>
      <c r="B1" s="1"/>
      <c r="C1" s="1"/>
      <c r="D1" s="1"/>
      <c r="E1" s="1"/>
      <c r="G1" s="2" t="s">
        <v>346</v>
      </c>
      <c r="H1" s="2"/>
      <c r="I1" s="2"/>
      <c r="J1" s="2"/>
      <c r="K1" s="2"/>
      <c r="L1" s="3" t="s">
        <v>347</v>
      </c>
    </row>
    <row r="2" spans="1:13" ht="15.75" customHeight="1" x14ac:dyDescent="0.4">
      <c r="A2" s="1"/>
      <c r="B2" s="1"/>
      <c r="C2" s="1"/>
      <c r="D2" s="1"/>
      <c r="E2" s="1"/>
      <c r="G2" s="4" t="s">
        <v>98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49" t="s">
        <v>10</v>
      </c>
      <c r="H4" s="50" t="s">
        <v>348</v>
      </c>
      <c r="I4" s="51" t="s">
        <v>349</v>
      </c>
      <c r="J4" s="50" t="s">
        <v>350</v>
      </c>
      <c r="K4" s="52" t="s">
        <v>351</v>
      </c>
      <c r="L4" s="50" t="s">
        <v>25</v>
      </c>
    </row>
    <row r="5" spans="1:13" ht="30" customHeight="1" x14ac:dyDescent="0.25">
      <c r="G5" s="49" t="s">
        <v>16</v>
      </c>
      <c r="H5" s="50" t="s">
        <v>352</v>
      </c>
      <c r="I5" s="51" t="s">
        <v>353</v>
      </c>
      <c r="J5" s="50" t="s">
        <v>354</v>
      </c>
      <c r="K5" s="52" t="s">
        <v>351</v>
      </c>
      <c r="L5" s="50" t="s">
        <v>25</v>
      </c>
    </row>
    <row r="6" spans="1:13" ht="30" customHeight="1" x14ac:dyDescent="0.25">
      <c r="G6" s="49" t="s">
        <v>18</v>
      </c>
      <c r="H6" s="50" t="s">
        <v>355</v>
      </c>
      <c r="I6" s="51" t="s">
        <v>356</v>
      </c>
      <c r="J6" s="50" t="s">
        <v>357</v>
      </c>
      <c r="K6" s="53" t="s">
        <v>358</v>
      </c>
      <c r="L6" s="50" t="s">
        <v>25</v>
      </c>
    </row>
    <row r="7" spans="1:13" ht="30" customHeight="1" x14ac:dyDescent="0.25">
      <c r="G7" s="49" t="s">
        <v>19</v>
      </c>
      <c r="H7" s="50" t="s">
        <v>359</v>
      </c>
      <c r="I7" s="51" t="s">
        <v>360</v>
      </c>
      <c r="J7" s="50" t="s">
        <v>361</v>
      </c>
      <c r="K7" s="54"/>
      <c r="L7" s="50" t="s">
        <v>25</v>
      </c>
    </row>
    <row r="8" spans="1:13" ht="30" customHeight="1" x14ac:dyDescent="0.25">
      <c r="G8" s="49" t="s">
        <v>20</v>
      </c>
      <c r="H8" s="50" t="s">
        <v>362</v>
      </c>
      <c r="I8" s="51">
        <v>20469249</v>
      </c>
      <c r="J8" s="50" t="s">
        <v>363</v>
      </c>
      <c r="K8" s="52" t="s">
        <v>364</v>
      </c>
      <c r="L8" s="50" t="s">
        <v>25</v>
      </c>
    </row>
    <row r="9" spans="1:13" ht="30" customHeight="1" x14ac:dyDescent="0.25">
      <c r="G9" s="49" t="s">
        <v>26</v>
      </c>
      <c r="H9" s="50" t="s">
        <v>365</v>
      </c>
      <c r="I9" s="50" t="s">
        <v>366</v>
      </c>
      <c r="J9" s="50" t="s">
        <v>237</v>
      </c>
      <c r="K9" s="52" t="s">
        <v>364</v>
      </c>
      <c r="L9" s="50" t="s">
        <v>25</v>
      </c>
      <c r="M9" s="13"/>
    </row>
    <row r="10" spans="1:13" ht="30" customHeight="1" x14ac:dyDescent="0.25">
      <c r="G10" s="49" t="s">
        <v>29</v>
      </c>
      <c r="H10" s="50" t="s">
        <v>367</v>
      </c>
      <c r="I10" s="51">
        <v>12026269</v>
      </c>
      <c r="J10" s="50" t="s">
        <v>368</v>
      </c>
      <c r="K10" s="52" t="s">
        <v>369</v>
      </c>
      <c r="L10" s="50" t="s">
        <v>25</v>
      </c>
      <c r="M10" s="13"/>
    </row>
    <row r="11" spans="1:13" ht="30" customHeight="1" x14ac:dyDescent="0.25">
      <c r="G11" s="49" t="s">
        <v>30</v>
      </c>
      <c r="H11" s="50" t="s">
        <v>370</v>
      </c>
      <c r="I11" s="50" t="s">
        <v>371</v>
      </c>
      <c r="J11" s="50" t="s">
        <v>237</v>
      </c>
      <c r="K11" s="52" t="s">
        <v>369</v>
      </c>
      <c r="L11" s="50" t="s">
        <v>25</v>
      </c>
      <c r="M11" s="13"/>
    </row>
    <row r="12" spans="1:13" ht="30" customHeight="1" x14ac:dyDescent="0.25">
      <c r="G12" s="49" t="s">
        <v>35</v>
      </c>
      <c r="H12" s="50" t="s">
        <v>372</v>
      </c>
      <c r="I12" s="51" t="s">
        <v>373</v>
      </c>
      <c r="J12" s="50" t="s">
        <v>374</v>
      </c>
      <c r="K12" s="52" t="s">
        <v>375</v>
      </c>
      <c r="L12" s="50" t="s">
        <v>15</v>
      </c>
      <c r="M12" s="13"/>
    </row>
    <row r="13" spans="1:13" ht="30" customHeight="1" x14ac:dyDescent="0.25">
      <c r="G13" s="49" t="s">
        <v>36</v>
      </c>
      <c r="H13" s="50" t="s">
        <v>376</v>
      </c>
      <c r="I13" s="51" t="s">
        <v>377</v>
      </c>
      <c r="J13" s="50" t="s">
        <v>237</v>
      </c>
      <c r="K13" s="52" t="s">
        <v>375</v>
      </c>
      <c r="L13" s="50" t="s">
        <v>15</v>
      </c>
      <c r="M13" s="13"/>
    </row>
    <row r="14" spans="1:13" ht="30" customHeight="1" x14ac:dyDescent="0.25">
      <c r="G14" s="49" t="s">
        <v>37</v>
      </c>
      <c r="H14" s="50" t="s">
        <v>378</v>
      </c>
      <c r="I14" s="51" t="s">
        <v>379</v>
      </c>
      <c r="J14" s="50" t="s">
        <v>380</v>
      </c>
      <c r="K14" s="52" t="s">
        <v>381</v>
      </c>
      <c r="L14" s="50" t="s">
        <v>382</v>
      </c>
      <c r="M14" s="13"/>
    </row>
    <row r="15" spans="1:13" ht="30" customHeight="1" x14ac:dyDescent="0.25">
      <c r="G15" s="49" t="s">
        <v>42</v>
      </c>
      <c r="H15" s="50" t="s">
        <v>383</v>
      </c>
      <c r="I15" s="51" t="s">
        <v>384</v>
      </c>
      <c r="J15" s="50" t="s">
        <v>385</v>
      </c>
      <c r="K15" s="52" t="s">
        <v>381</v>
      </c>
      <c r="L15" s="50" t="s">
        <v>382</v>
      </c>
      <c r="M15" s="13"/>
    </row>
    <row r="16" spans="1:13" ht="30" customHeight="1" x14ac:dyDescent="0.25">
      <c r="G16" s="49" t="s">
        <v>46</v>
      </c>
      <c r="H16" s="50" t="s">
        <v>386</v>
      </c>
      <c r="I16" s="51"/>
      <c r="J16" s="50"/>
      <c r="K16" s="52" t="s">
        <v>387</v>
      </c>
      <c r="L16" s="50" t="s">
        <v>388</v>
      </c>
      <c r="M16" s="13"/>
    </row>
    <row r="17" spans="7:13" ht="30" customHeight="1" x14ac:dyDescent="0.25">
      <c r="G17" s="49" t="s">
        <v>47</v>
      </c>
      <c r="H17" s="50" t="s">
        <v>389</v>
      </c>
      <c r="I17" s="51" t="s">
        <v>390</v>
      </c>
      <c r="J17" s="50" t="s">
        <v>391</v>
      </c>
      <c r="K17" s="52" t="s">
        <v>392</v>
      </c>
      <c r="L17" s="50" t="s">
        <v>25</v>
      </c>
      <c r="M17" s="13"/>
    </row>
    <row r="18" spans="7:13" ht="30" customHeight="1" x14ac:dyDescent="0.25">
      <c r="G18" s="49" t="s">
        <v>48</v>
      </c>
      <c r="H18" s="50" t="s">
        <v>393</v>
      </c>
      <c r="I18" s="51" t="s">
        <v>394</v>
      </c>
      <c r="J18" s="50" t="s">
        <v>395</v>
      </c>
      <c r="K18" s="53" t="s">
        <v>358</v>
      </c>
      <c r="L18" s="50" t="s">
        <v>25</v>
      </c>
      <c r="M18" s="13"/>
    </row>
    <row r="19" spans="7:13" ht="30" customHeight="1" x14ac:dyDescent="0.25">
      <c r="G19" s="49" t="s">
        <v>49</v>
      </c>
      <c r="H19" s="50" t="s">
        <v>355</v>
      </c>
      <c r="I19" s="51" t="s">
        <v>17</v>
      </c>
      <c r="J19" s="50" t="s">
        <v>237</v>
      </c>
      <c r="K19" s="54"/>
      <c r="L19" s="50" t="s">
        <v>25</v>
      </c>
      <c r="M19" s="13"/>
    </row>
    <row r="20" spans="7:13" ht="30" customHeight="1" x14ac:dyDescent="0.25">
      <c r="G20" s="49" t="s">
        <v>50</v>
      </c>
      <c r="H20" s="50" t="s">
        <v>396</v>
      </c>
      <c r="I20" s="51" t="s">
        <v>397</v>
      </c>
      <c r="J20" s="50" t="s">
        <v>398</v>
      </c>
      <c r="K20" s="52" t="s">
        <v>399</v>
      </c>
      <c r="L20" s="50" t="s">
        <v>15</v>
      </c>
      <c r="M20" s="13"/>
    </row>
    <row r="21" spans="7:13" ht="30" customHeight="1" x14ac:dyDescent="0.25">
      <c r="G21" s="49" t="s">
        <v>54</v>
      </c>
      <c r="H21" s="50" t="s">
        <v>400</v>
      </c>
      <c r="I21" s="51" t="s">
        <v>17</v>
      </c>
      <c r="J21" s="50" t="s">
        <v>401</v>
      </c>
      <c r="K21" s="52" t="s">
        <v>402</v>
      </c>
      <c r="L21" s="50" t="s">
        <v>15</v>
      </c>
      <c r="M21" s="13"/>
    </row>
    <row r="22" spans="7:13" ht="30" customHeight="1" x14ac:dyDescent="0.25">
      <c r="G22" s="49" t="s">
        <v>57</v>
      </c>
      <c r="H22" s="50" t="s">
        <v>403</v>
      </c>
      <c r="I22" s="51" t="s">
        <v>404</v>
      </c>
      <c r="J22" s="50" t="s">
        <v>405</v>
      </c>
      <c r="K22" s="52" t="s">
        <v>406</v>
      </c>
      <c r="L22" s="50" t="s">
        <v>25</v>
      </c>
      <c r="M22" s="13"/>
    </row>
    <row r="23" spans="7:13" ht="30" customHeight="1" x14ac:dyDescent="0.25">
      <c r="G23" s="49" t="s">
        <v>61</v>
      </c>
      <c r="H23" s="50" t="s">
        <v>407</v>
      </c>
      <c r="I23" s="51" t="s">
        <v>408</v>
      </c>
      <c r="J23" s="50" t="s">
        <v>409</v>
      </c>
      <c r="K23" s="52" t="s">
        <v>406</v>
      </c>
      <c r="L23" s="50" t="s">
        <v>25</v>
      </c>
      <c r="M23" s="13"/>
    </row>
    <row r="24" spans="7:13" ht="30" customHeight="1" x14ac:dyDescent="0.25">
      <c r="G24" s="49" t="s">
        <v>63</v>
      </c>
      <c r="H24" s="50" t="s">
        <v>410</v>
      </c>
      <c r="I24" s="51" t="s">
        <v>411</v>
      </c>
      <c r="J24" s="50" t="s">
        <v>412</v>
      </c>
      <c r="K24" s="52" t="s">
        <v>375</v>
      </c>
      <c r="L24" s="50" t="s">
        <v>15</v>
      </c>
      <c r="M24" s="13"/>
    </row>
    <row r="25" spans="7:13" ht="30" customHeight="1" x14ac:dyDescent="0.25">
      <c r="G25" s="49" t="s">
        <v>64</v>
      </c>
      <c r="H25" s="50" t="s">
        <v>413</v>
      </c>
      <c r="I25" s="51" t="s">
        <v>414</v>
      </c>
      <c r="J25" s="50" t="s">
        <v>415</v>
      </c>
      <c r="K25" s="52" t="s">
        <v>416</v>
      </c>
      <c r="L25" s="50" t="s">
        <v>417</v>
      </c>
      <c r="M25" s="13"/>
    </row>
    <row r="26" spans="7:13" ht="30" customHeight="1" x14ac:dyDescent="0.25">
      <c r="G26" s="49" t="s">
        <v>65</v>
      </c>
      <c r="H26" s="50" t="s">
        <v>418</v>
      </c>
      <c r="I26" s="50" t="s">
        <v>419</v>
      </c>
      <c r="J26" s="50" t="s">
        <v>420</v>
      </c>
      <c r="K26" s="55" t="s">
        <v>421</v>
      </c>
      <c r="L26" s="50" t="s">
        <v>422</v>
      </c>
    </row>
    <row r="27" spans="7:13" ht="30" customHeight="1" x14ac:dyDescent="0.25">
      <c r="G27" s="49" t="s">
        <v>67</v>
      </c>
      <c r="H27" s="50" t="s">
        <v>423</v>
      </c>
      <c r="I27" s="50" t="s">
        <v>424</v>
      </c>
      <c r="J27" s="50" t="s">
        <v>425</v>
      </c>
      <c r="K27" s="56"/>
      <c r="L27" s="50" t="s">
        <v>422</v>
      </c>
    </row>
    <row r="28" spans="7:13" ht="30" customHeight="1" x14ac:dyDescent="0.25">
      <c r="G28" s="49" t="s">
        <v>68</v>
      </c>
      <c r="H28" s="50" t="s">
        <v>426</v>
      </c>
      <c r="I28" s="51" t="s">
        <v>427</v>
      </c>
      <c r="J28" s="50" t="s">
        <v>428</v>
      </c>
      <c r="K28" s="52" t="s">
        <v>392</v>
      </c>
      <c r="L28" s="50" t="s">
        <v>25</v>
      </c>
    </row>
    <row r="29" spans="7:13" ht="30" customHeight="1" x14ac:dyDescent="0.25">
      <c r="G29" s="49" t="s">
        <v>69</v>
      </c>
      <c r="H29" s="50" t="s">
        <v>429</v>
      </c>
      <c r="I29" s="51" t="s">
        <v>430</v>
      </c>
      <c r="J29" s="50" t="s">
        <v>431</v>
      </c>
      <c r="K29" s="52" t="s">
        <v>392</v>
      </c>
      <c r="L29" s="50" t="s">
        <v>25</v>
      </c>
    </row>
    <row r="30" spans="7:13" ht="30" customHeight="1" x14ac:dyDescent="0.25">
      <c r="G30" s="7" t="s">
        <v>70</v>
      </c>
      <c r="H30" s="8"/>
      <c r="I30" s="8"/>
      <c r="J30" s="8"/>
      <c r="K30" s="10"/>
      <c r="L30" s="8"/>
    </row>
    <row r="31" spans="7:13" ht="30" customHeight="1" x14ac:dyDescent="0.25">
      <c r="G31" s="7" t="s">
        <v>71</v>
      </c>
      <c r="H31" s="8"/>
      <c r="I31" s="8"/>
      <c r="J31" s="8"/>
      <c r="K31" s="10"/>
      <c r="L31" s="8"/>
    </row>
    <row r="32" spans="7:13" ht="30" customHeight="1" x14ac:dyDescent="0.25">
      <c r="G32" s="7" t="s">
        <v>72</v>
      </c>
      <c r="H32" s="8"/>
      <c r="I32" s="9"/>
      <c r="J32" s="8"/>
      <c r="K32" s="10"/>
      <c r="L32" s="8"/>
    </row>
    <row r="33" spans="7:12" ht="30" customHeight="1" x14ac:dyDescent="0.25">
      <c r="G33" s="7" t="s">
        <v>73</v>
      </c>
      <c r="H33" s="8"/>
      <c r="I33" s="9"/>
      <c r="J33" s="8"/>
      <c r="K33" s="10"/>
      <c r="L33" s="8"/>
    </row>
    <row r="34" spans="7:12" ht="30" customHeight="1" x14ac:dyDescent="0.25">
      <c r="G34" s="7" t="s">
        <v>74</v>
      </c>
      <c r="H34" s="8"/>
      <c r="I34" s="9"/>
      <c r="J34" s="8"/>
      <c r="K34" s="10"/>
      <c r="L34" s="8"/>
    </row>
  </sheetData>
  <mergeCells count="6">
    <mergeCell ref="A1:E4"/>
    <mergeCell ref="G1:K1"/>
    <mergeCell ref="G2:K2"/>
    <mergeCell ref="K6:K7"/>
    <mergeCell ref="K18:K19"/>
    <mergeCell ref="K26:K27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A1:R154"/>
  <sheetViews>
    <sheetView zoomScale="73" zoomScaleNormal="73" workbookViewId="0">
      <selection activeCell="K34" sqref="K34"/>
    </sheetView>
  </sheetViews>
  <sheetFormatPr baseColWidth="10" defaultRowHeight="15" x14ac:dyDescent="0.25"/>
  <cols>
    <col min="2" max="2" width="34" customWidth="1"/>
    <col min="3" max="3" width="16.140625" customWidth="1"/>
    <col min="4" max="4" width="15.42578125" customWidth="1"/>
    <col min="5" max="5" width="17.85546875" customWidth="1"/>
    <col min="6" max="6" width="23.28515625" customWidth="1"/>
    <col min="7" max="7" width="23" style="37" customWidth="1"/>
    <col min="10" max="10" width="11.5703125" customWidth="1"/>
    <col min="11" max="11" width="24.140625" customWidth="1"/>
    <col min="12" max="12" width="34.140625" customWidth="1"/>
    <col min="16" max="16" width="24.85546875" customWidth="1"/>
    <col min="17" max="17" width="34" customWidth="1"/>
  </cols>
  <sheetData>
    <row r="1" spans="1:18" ht="38.25" customHeight="1" x14ac:dyDescent="0.3">
      <c r="A1" s="14" t="s">
        <v>432</v>
      </c>
      <c r="B1" s="14"/>
      <c r="C1" s="14"/>
      <c r="D1" s="14"/>
      <c r="E1" s="14"/>
      <c r="F1" s="14"/>
      <c r="J1" s="57" t="s">
        <v>433</v>
      </c>
      <c r="K1" s="57"/>
      <c r="L1" s="57"/>
      <c r="O1" s="57" t="s">
        <v>433</v>
      </c>
      <c r="P1" s="57"/>
      <c r="Q1" s="57"/>
    </row>
    <row r="2" spans="1:18" x14ac:dyDescent="0.25">
      <c r="J2" s="58"/>
      <c r="K2" s="58"/>
      <c r="L2" s="58"/>
      <c r="O2" s="58"/>
      <c r="P2" s="58"/>
      <c r="Q2" s="58"/>
    </row>
    <row r="3" spans="1:18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9</v>
      </c>
      <c r="G3" s="38"/>
      <c r="H3" s="17"/>
      <c r="J3" s="59" t="s">
        <v>4</v>
      </c>
      <c r="K3" s="59" t="s">
        <v>434</v>
      </c>
      <c r="L3" s="59" t="s">
        <v>435</v>
      </c>
      <c r="O3" s="59" t="s">
        <v>4</v>
      </c>
      <c r="P3" s="59" t="s">
        <v>434</v>
      </c>
      <c r="Q3" s="59" t="s">
        <v>435</v>
      </c>
    </row>
    <row r="4" spans="1:18" ht="20.100000000000001" customHeight="1" x14ac:dyDescent="0.25">
      <c r="A4" s="8" t="s">
        <v>10</v>
      </c>
      <c r="B4" s="18" t="str">
        <f>'[1]TOUR FALCON (15-08)'!H4</f>
        <v>EDELMARYS CHIRINOS</v>
      </c>
      <c r="C4" s="19">
        <v>75</v>
      </c>
      <c r="D4" s="19">
        <v>75</v>
      </c>
      <c r="E4" s="20">
        <f t="shared" ref="E4:E34" si="0">C4-D4</f>
        <v>0</v>
      </c>
      <c r="F4" s="21"/>
      <c r="J4" s="58"/>
      <c r="K4" s="58"/>
      <c r="L4" s="58"/>
      <c r="O4" s="58"/>
      <c r="P4" s="58"/>
      <c r="Q4" s="58"/>
    </row>
    <row r="5" spans="1:18" ht="20.100000000000001" customHeight="1" x14ac:dyDescent="0.25">
      <c r="A5" s="8" t="s">
        <v>16</v>
      </c>
      <c r="B5" s="18" t="str">
        <f>'[1]TOUR FALCON (15-08)'!H5</f>
        <v>ELIANNY GOMEZ</v>
      </c>
      <c r="C5" s="19">
        <v>75</v>
      </c>
      <c r="D5" s="19">
        <v>75</v>
      </c>
      <c r="E5" s="20">
        <f t="shared" si="0"/>
        <v>0</v>
      </c>
      <c r="F5" s="21"/>
      <c r="J5" s="7" t="s">
        <v>65</v>
      </c>
      <c r="K5" s="8" t="s">
        <v>418</v>
      </c>
      <c r="L5" s="60" t="s">
        <v>436</v>
      </c>
      <c r="M5">
        <v>30</v>
      </c>
      <c r="O5" s="7" t="s">
        <v>35</v>
      </c>
      <c r="P5" s="8" t="s">
        <v>372</v>
      </c>
      <c r="Q5" s="61" t="s">
        <v>437</v>
      </c>
    </row>
    <row r="6" spans="1:18" ht="20.100000000000001" customHeight="1" x14ac:dyDescent="0.25">
      <c r="A6" s="8" t="s">
        <v>18</v>
      </c>
      <c r="B6" s="18" t="str">
        <f>'[1]TOUR FALCON (15-08)'!H6</f>
        <v>NELIDA SECO</v>
      </c>
      <c r="C6" s="19">
        <v>75</v>
      </c>
      <c r="D6" s="19">
        <v>75</v>
      </c>
      <c r="E6" s="20">
        <f t="shared" si="0"/>
        <v>0</v>
      </c>
      <c r="F6" s="21"/>
      <c r="J6" s="7" t="s">
        <v>67</v>
      </c>
      <c r="K6" s="8" t="s">
        <v>423</v>
      </c>
      <c r="L6" s="60"/>
      <c r="O6" s="7" t="s">
        <v>36</v>
      </c>
      <c r="P6" s="8" t="s">
        <v>376</v>
      </c>
      <c r="Q6" s="61"/>
    </row>
    <row r="7" spans="1:18" ht="20.100000000000001" customHeight="1" x14ac:dyDescent="0.25">
      <c r="A7" s="8" t="s">
        <v>19</v>
      </c>
      <c r="B7" s="18" t="str">
        <f>'[1]TOUR FALCON (15-08)'!H7</f>
        <v>RICHAR COLINA</v>
      </c>
      <c r="C7" s="19">
        <v>75</v>
      </c>
      <c r="D7" s="19">
        <v>75</v>
      </c>
      <c r="E7" s="20">
        <f t="shared" si="0"/>
        <v>0</v>
      </c>
      <c r="F7" s="21"/>
      <c r="J7" s="58"/>
      <c r="K7" s="58"/>
      <c r="L7" s="58"/>
      <c r="O7" s="7" t="s">
        <v>63</v>
      </c>
      <c r="P7" s="8" t="s">
        <v>410</v>
      </c>
      <c r="Q7" s="61"/>
      <c r="R7">
        <v>60</v>
      </c>
    </row>
    <row r="8" spans="1:18" ht="20.100000000000001" customHeight="1" x14ac:dyDescent="0.25">
      <c r="A8" s="8" t="s">
        <v>20</v>
      </c>
      <c r="B8" s="18" t="str">
        <f>'[1]TOUR FALCON (15-08)'!H8</f>
        <v>SARA DIAZ</v>
      </c>
      <c r="C8" s="19">
        <v>70</v>
      </c>
      <c r="D8" s="19">
        <v>70</v>
      </c>
      <c r="E8" s="20">
        <f t="shared" si="0"/>
        <v>0</v>
      </c>
      <c r="F8" s="21"/>
      <c r="J8" s="58"/>
      <c r="K8" s="58"/>
      <c r="L8" s="58"/>
      <c r="O8" s="7" t="s">
        <v>47</v>
      </c>
      <c r="P8" s="8" t="s">
        <v>389</v>
      </c>
      <c r="Q8" s="61"/>
    </row>
    <row r="9" spans="1:18" ht="20.100000000000001" customHeight="1" x14ac:dyDescent="0.25">
      <c r="A9" s="8" t="s">
        <v>26</v>
      </c>
      <c r="B9" s="18" t="str">
        <f>'[1]TOUR FALCON (15-08)'!H9</f>
        <v>JUAN DIAZ</v>
      </c>
      <c r="C9" s="19">
        <v>70</v>
      </c>
      <c r="D9" s="19">
        <v>70</v>
      </c>
      <c r="E9" s="20">
        <f t="shared" si="0"/>
        <v>0</v>
      </c>
      <c r="F9" s="21"/>
      <c r="J9" s="7" t="s">
        <v>57</v>
      </c>
      <c r="K9" s="8" t="s">
        <v>403</v>
      </c>
      <c r="L9" s="60" t="s">
        <v>436</v>
      </c>
      <c r="M9">
        <v>30</v>
      </c>
      <c r="O9" s="7" t="s">
        <v>68</v>
      </c>
      <c r="P9" s="8" t="s">
        <v>426</v>
      </c>
      <c r="Q9" s="61"/>
    </row>
    <row r="10" spans="1:18" ht="20.100000000000001" customHeight="1" x14ac:dyDescent="0.25">
      <c r="A10" s="8" t="s">
        <v>29</v>
      </c>
      <c r="B10" s="18" t="str">
        <f>'[1]TOUR FALCON (15-08)'!H10</f>
        <v>ANAIBETH ORELLANA</v>
      </c>
      <c r="C10" s="19">
        <v>75</v>
      </c>
      <c r="D10" s="19">
        <v>75</v>
      </c>
      <c r="E10" s="20">
        <f t="shared" si="0"/>
        <v>0</v>
      </c>
      <c r="F10" s="21"/>
      <c r="J10" s="7" t="s">
        <v>61</v>
      </c>
      <c r="K10" s="8" t="s">
        <v>407</v>
      </c>
      <c r="L10" s="60"/>
      <c r="O10" s="7" t="s">
        <v>69</v>
      </c>
      <c r="P10" s="8" t="s">
        <v>429</v>
      </c>
      <c r="Q10" s="61"/>
    </row>
    <row r="11" spans="1:18" ht="20.100000000000001" customHeight="1" x14ac:dyDescent="0.25">
      <c r="A11" s="8" t="s">
        <v>30</v>
      </c>
      <c r="B11" s="18" t="str">
        <f>'[1]TOUR FALCON (15-08)'!H11</f>
        <v>ARANZA ALVAREZ</v>
      </c>
      <c r="C11" s="19">
        <v>75</v>
      </c>
      <c r="D11" s="19">
        <v>75</v>
      </c>
      <c r="E11" s="20">
        <f t="shared" si="0"/>
        <v>0</v>
      </c>
      <c r="F11" s="21"/>
      <c r="J11" s="58"/>
      <c r="K11" s="58"/>
      <c r="L11" s="58"/>
      <c r="O11" s="58"/>
      <c r="P11" s="58"/>
      <c r="Q11" s="58"/>
    </row>
    <row r="12" spans="1:18" ht="20.100000000000001" customHeight="1" x14ac:dyDescent="0.25">
      <c r="A12" s="8" t="s">
        <v>35</v>
      </c>
      <c r="B12" s="18" t="str">
        <f>'[1]TOUR FALCON (15-08)'!H12</f>
        <v>LILIBETH PASTRAN +NIÑO</v>
      </c>
      <c r="C12" s="19">
        <v>75</v>
      </c>
      <c r="D12" s="19">
        <v>75</v>
      </c>
      <c r="E12" s="20">
        <f t="shared" si="0"/>
        <v>0</v>
      </c>
      <c r="F12" s="21"/>
      <c r="J12" s="58"/>
      <c r="K12" s="58"/>
      <c r="L12" s="58"/>
      <c r="O12" s="58"/>
      <c r="P12" s="58"/>
      <c r="Q12" s="58"/>
    </row>
    <row r="13" spans="1:18" ht="20.100000000000001" customHeight="1" x14ac:dyDescent="0.25">
      <c r="A13" s="8" t="s">
        <v>36</v>
      </c>
      <c r="B13" s="18" t="str">
        <f>'[1]TOUR FALCON (15-08)'!H13</f>
        <v>RAIMAR ALVAREZ</v>
      </c>
      <c r="C13" s="19">
        <v>75</v>
      </c>
      <c r="D13" s="19">
        <v>75</v>
      </c>
      <c r="E13" s="20">
        <f t="shared" si="0"/>
        <v>0</v>
      </c>
      <c r="F13" s="21"/>
      <c r="J13" s="7" t="s">
        <v>37</v>
      </c>
      <c r="K13" s="8" t="s">
        <v>378</v>
      </c>
      <c r="L13" s="60" t="s">
        <v>436</v>
      </c>
      <c r="M13">
        <v>30</v>
      </c>
      <c r="O13" s="7" t="s">
        <v>20</v>
      </c>
      <c r="P13" s="8" t="s">
        <v>362</v>
      </c>
      <c r="Q13" s="61" t="s">
        <v>438</v>
      </c>
    </row>
    <row r="14" spans="1:18" ht="20.100000000000001" customHeight="1" x14ac:dyDescent="0.25">
      <c r="A14" s="8" t="s">
        <v>37</v>
      </c>
      <c r="B14" s="18" t="str">
        <f>'[1]TOUR FALCON (15-08)'!H14</f>
        <v>IVAN CARRILO</v>
      </c>
      <c r="C14" s="19">
        <v>80</v>
      </c>
      <c r="D14" s="19">
        <v>80</v>
      </c>
      <c r="E14" s="20">
        <f t="shared" si="0"/>
        <v>0</v>
      </c>
      <c r="F14" s="62" t="s">
        <v>436</v>
      </c>
      <c r="J14" s="7" t="s">
        <v>42</v>
      </c>
      <c r="K14" s="8" t="s">
        <v>383</v>
      </c>
      <c r="L14" s="60"/>
      <c r="O14" s="7" t="s">
        <v>26</v>
      </c>
      <c r="P14" s="8" t="s">
        <v>365</v>
      </c>
      <c r="Q14" s="61"/>
    </row>
    <row r="15" spans="1:18" ht="20.100000000000001" customHeight="1" x14ac:dyDescent="0.25">
      <c r="A15" s="8" t="s">
        <v>42</v>
      </c>
      <c r="B15" s="18" t="str">
        <f>'[1]TOUR FALCON (15-08)'!H15</f>
        <v>BELKIS DE CARRILO</v>
      </c>
      <c r="C15" s="19">
        <v>85</v>
      </c>
      <c r="D15" s="19">
        <v>85</v>
      </c>
      <c r="E15" s="20">
        <f t="shared" si="0"/>
        <v>0</v>
      </c>
      <c r="F15" s="63"/>
      <c r="J15" s="58"/>
      <c r="K15" s="58"/>
      <c r="L15" s="58"/>
      <c r="O15" s="7" t="s">
        <v>50</v>
      </c>
      <c r="P15" s="8" t="s">
        <v>396</v>
      </c>
      <c r="Q15" s="61"/>
    </row>
    <row r="16" spans="1:18" ht="20.100000000000001" customHeight="1" x14ac:dyDescent="0.25">
      <c r="A16" s="8" t="s">
        <v>46</v>
      </c>
      <c r="B16" s="18" t="str">
        <f>'[1]TOUR FALCON (15-08)'!H16</f>
        <v>RAYMIR</v>
      </c>
      <c r="C16" s="19"/>
      <c r="D16" s="19"/>
      <c r="E16" s="20">
        <f t="shared" si="0"/>
        <v>0</v>
      </c>
      <c r="F16" s="21"/>
      <c r="J16" s="58"/>
      <c r="K16" s="58"/>
      <c r="L16" s="58"/>
      <c r="O16" s="7" t="s">
        <v>54</v>
      </c>
      <c r="P16" s="8" t="s">
        <v>400</v>
      </c>
      <c r="Q16" s="61"/>
      <c r="R16">
        <v>50</v>
      </c>
    </row>
    <row r="17" spans="1:18" ht="20.100000000000001" customHeight="1" x14ac:dyDescent="0.25">
      <c r="A17" s="8" t="s">
        <v>47</v>
      </c>
      <c r="B17" s="18" t="str">
        <f>'[1]TOUR FALCON (15-08)'!H17</f>
        <v>ERIANNY MENDOZA</v>
      </c>
      <c r="C17" s="19">
        <v>75</v>
      </c>
      <c r="D17" s="19">
        <v>75</v>
      </c>
      <c r="E17" s="20">
        <f t="shared" si="0"/>
        <v>0</v>
      </c>
      <c r="F17" s="21"/>
      <c r="J17" s="7" t="s">
        <v>10</v>
      </c>
      <c r="K17" s="8" t="s">
        <v>348</v>
      </c>
      <c r="L17" s="60" t="s">
        <v>439</v>
      </c>
      <c r="O17" s="7" t="s">
        <v>64</v>
      </c>
      <c r="P17" s="8" t="s">
        <v>413</v>
      </c>
      <c r="Q17" s="61"/>
    </row>
    <row r="18" spans="1:18" ht="20.100000000000001" customHeight="1" x14ac:dyDescent="0.25">
      <c r="A18" s="8" t="s">
        <v>48</v>
      </c>
      <c r="B18" s="18" t="str">
        <f>'[1]TOUR FALCON (15-08)'!H18</f>
        <v>NAHOMY COLINA</v>
      </c>
      <c r="C18" s="19">
        <v>75</v>
      </c>
      <c r="D18" s="19">
        <v>75</v>
      </c>
      <c r="E18" s="20">
        <f t="shared" si="0"/>
        <v>0</v>
      </c>
      <c r="F18" s="21"/>
      <c r="J18" s="7" t="s">
        <v>16</v>
      </c>
      <c r="K18" s="8" t="s">
        <v>352</v>
      </c>
      <c r="L18" s="60"/>
      <c r="O18" s="58"/>
      <c r="P18" s="58"/>
      <c r="Q18" s="58"/>
    </row>
    <row r="19" spans="1:18" ht="20.100000000000001" customHeight="1" x14ac:dyDescent="0.25">
      <c r="A19" s="8" t="s">
        <v>49</v>
      </c>
      <c r="B19" s="18" t="str">
        <f>'[1]TOUR FALCON (15-08)'!H19</f>
        <v>NELIDA SECO</v>
      </c>
      <c r="C19" s="19">
        <v>75</v>
      </c>
      <c r="D19" s="19">
        <v>75</v>
      </c>
      <c r="E19" s="20">
        <f t="shared" si="0"/>
        <v>0</v>
      </c>
      <c r="F19" s="21"/>
      <c r="J19" s="7" t="s">
        <v>29</v>
      </c>
      <c r="K19" s="8" t="s">
        <v>367</v>
      </c>
      <c r="L19" s="60"/>
      <c r="M19">
        <v>40</v>
      </c>
      <c r="O19" s="58"/>
      <c r="P19" s="58"/>
      <c r="Q19" s="58"/>
    </row>
    <row r="20" spans="1:18" ht="20.100000000000001" customHeight="1" x14ac:dyDescent="0.25">
      <c r="A20" s="8" t="s">
        <v>50</v>
      </c>
      <c r="B20" s="18" t="str">
        <f>'[1]TOUR FALCON (15-08)'!H20</f>
        <v>ANA TERESA PARGAS</v>
      </c>
      <c r="C20" s="19">
        <v>75</v>
      </c>
      <c r="D20" s="19">
        <v>75</v>
      </c>
      <c r="E20" s="20">
        <f t="shared" si="0"/>
        <v>0</v>
      </c>
      <c r="F20" s="21"/>
      <c r="J20" s="7" t="s">
        <v>30</v>
      </c>
      <c r="K20" s="8" t="s">
        <v>370</v>
      </c>
      <c r="L20" s="60"/>
      <c r="O20" s="25" t="s">
        <v>46</v>
      </c>
      <c r="P20" s="26" t="s">
        <v>386</v>
      </c>
      <c r="Q20" s="61" t="s">
        <v>438</v>
      </c>
    </row>
    <row r="21" spans="1:18" ht="20.100000000000001" customHeight="1" x14ac:dyDescent="0.25">
      <c r="A21" s="8" t="s">
        <v>54</v>
      </c>
      <c r="B21" s="18" t="str">
        <f>'[1]TOUR FALCON (15-08)'!H21</f>
        <v>TANIA BODOR</v>
      </c>
      <c r="C21" s="19">
        <v>75</v>
      </c>
      <c r="D21" s="19">
        <v>75</v>
      </c>
      <c r="E21" s="20">
        <f t="shared" si="0"/>
        <v>0</v>
      </c>
      <c r="F21" s="21"/>
      <c r="J21" s="58"/>
      <c r="K21" s="58"/>
      <c r="L21" s="58"/>
      <c r="O21" s="25" t="s">
        <v>440</v>
      </c>
      <c r="P21" s="26" t="s">
        <v>441</v>
      </c>
      <c r="Q21" s="61"/>
    </row>
    <row r="22" spans="1:18" ht="20.100000000000001" customHeight="1" x14ac:dyDescent="0.25">
      <c r="A22" s="8" t="s">
        <v>57</v>
      </c>
      <c r="B22" s="18" t="str">
        <f>'[1]TOUR FALCON (15-08)'!H22</f>
        <v>MARIA CESTARI</v>
      </c>
      <c r="C22" s="19">
        <v>85</v>
      </c>
      <c r="D22" s="19">
        <v>85</v>
      </c>
      <c r="E22" s="20">
        <f t="shared" si="0"/>
        <v>0</v>
      </c>
      <c r="F22" s="62" t="s">
        <v>436</v>
      </c>
      <c r="J22" s="58"/>
      <c r="K22" s="58"/>
      <c r="L22" s="58"/>
      <c r="O22" s="25" t="s">
        <v>440</v>
      </c>
      <c r="P22" s="26" t="s">
        <v>442</v>
      </c>
      <c r="Q22" s="61"/>
      <c r="R22">
        <v>50</v>
      </c>
    </row>
    <row r="23" spans="1:18" ht="20.100000000000001" customHeight="1" x14ac:dyDescent="0.25">
      <c r="A23" s="8" t="s">
        <v>61</v>
      </c>
      <c r="B23" s="18" t="str">
        <f>'[1]TOUR FALCON (15-08)'!H23</f>
        <v>ZULEIMA CESTARI</v>
      </c>
      <c r="C23" s="19">
        <v>85</v>
      </c>
      <c r="D23" s="19">
        <v>85</v>
      </c>
      <c r="E23" s="20">
        <f t="shared" si="0"/>
        <v>0</v>
      </c>
      <c r="F23" s="63"/>
      <c r="J23" s="7" t="s">
        <v>18</v>
      </c>
      <c r="K23" s="8" t="s">
        <v>355</v>
      </c>
      <c r="L23" s="60" t="s">
        <v>439</v>
      </c>
      <c r="O23" s="25" t="s">
        <v>440</v>
      </c>
      <c r="P23" s="26" t="s">
        <v>443</v>
      </c>
      <c r="Q23" s="61"/>
    </row>
    <row r="24" spans="1:18" ht="20.100000000000001" customHeight="1" x14ac:dyDescent="0.25">
      <c r="A24" s="8" t="s">
        <v>63</v>
      </c>
      <c r="B24" s="18" t="str">
        <f>'[1]TOUR FALCON (15-08)'!H24</f>
        <v>ALEXANDRA MORILLO</v>
      </c>
      <c r="C24" s="19">
        <v>75</v>
      </c>
      <c r="D24" s="19">
        <v>75</v>
      </c>
      <c r="E24" s="20">
        <f t="shared" si="0"/>
        <v>0</v>
      </c>
      <c r="F24" s="21"/>
      <c r="J24" s="7" t="s">
        <v>19</v>
      </c>
      <c r="K24" s="8" t="s">
        <v>359</v>
      </c>
      <c r="L24" s="60"/>
      <c r="M24">
        <v>40</v>
      </c>
      <c r="O24" s="25" t="s">
        <v>440</v>
      </c>
      <c r="P24" s="26" t="s">
        <v>444</v>
      </c>
      <c r="Q24" s="61"/>
    </row>
    <row r="25" spans="1:18" ht="20.100000000000001" customHeight="1" x14ac:dyDescent="0.25">
      <c r="A25" s="8" t="s">
        <v>64</v>
      </c>
      <c r="B25" s="18" t="str">
        <f>'[1]TOUR FALCON (15-08)'!H25</f>
        <v>ANDREINA RAMOS</v>
      </c>
      <c r="C25" s="19">
        <v>75</v>
      </c>
      <c r="D25" s="19">
        <v>75</v>
      </c>
      <c r="E25" s="20">
        <f t="shared" si="0"/>
        <v>0</v>
      </c>
      <c r="F25" s="21"/>
      <c r="J25" s="7" t="s">
        <v>48</v>
      </c>
      <c r="K25" s="8" t="s">
        <v>393</v>
      </c>
      <c r="L25" s="60"/>
    </row>
    <row r="26" spans="1:18" ht="20.100000000000001" customHeight="1" x14ac:dyDescent="0.25">
      <c r="A26" s="8" t="s">
        <v>65</v>
      </c>
      <c r="B26" s="18" t="str">
        <f>'[1]TOUR FALCON (15-08)'!H26</f>
        <v>ISMARY VELASQUEZ</v>
      </c>
      <c r="C26" s="19">
        <v>85</v>
      </c>
      <c r="D26" s="19">
        <v>85</v>
      </c>
      <c r="E26" s="20">
        <f t="shared" si="0"/>
        <v>0</v>
      </c>
      <c r="F26" s="62" t="s">
        <v>436</v>
      </c>
      <c r="J26" s="7" t="s">
        <v>49</v>
      </c>
      <c r="K26" s="8" t="s">
        <v>355</v>
      </c>
      <c r="L26" s="60"/>
    </row>
    <row r="27" spans="1:18" ht="20.100000000000001" customHeight="1" x14ac:dyDescent="0.25">
      <c r="A27" s="8" t="s">
        <v>67</v>
      </c>
      <c r="B27" s="18" t="str">
        <f>'[1]TOUR FALCON (15-08)'!H27</f>
        <v>LUIS MORENO</v>
      </c>
      <c r="C27" s="19">
        <v>85</v>
      </c>
      <c r="D27" s="19">
        <v>85</v>
      </c>
      <c r="E27" s="20">
        <f t="shared" si="0"/>
        <v>0</v>
      </c>
      <c r="F27" s="63"/>
    </row>
    <row r="28" spans="1:18" ht="20.100000000000001" customHeight="1" x14ac:dyDescent="0.25">
      <c r="A28" s="8" t="s">
        <v>68</v>
      </c>
      <c r="B28" s="18" t="str">
        <f>'[1]TOUR FALCON (15-08)'!H28</f>
        <v>GENESIS CARDENAS</v>
      </c>
      <c r="C28" s="19">
        <v>75</v>
      </c>
      <c r="D28" s="19">
        <v>75</v>
      </c>
      <c r="E28" s="20">
        <f t="shared" si="0"/>
        <v>0</v>
      </c>
      <c r="F28" s="21"/>
    </row>
    <row r="29" spans="1:18" ht="20.100000000000001" customHeight="1" x14ac:dyDescent="0.25">
      <c r="A29" s="8" t="s">
        <v>69</v>
      </c>
      <c r="B29" s="18" t="str">
        <f>'[1]TOUR FALCON (15-08)'!H29</f>
        <v>ROSMERY MENDOZA</v>
      </c>
      <c r="C29" s="19">
        <v>75</v>
      </c>
      <c r="D29" s="19">
        <v>75</v>
      </c>
      <c r="E29" s="20">
        <f t="shared" si="0"/>
        <v>0</v>
      </c>
      <c r="F29" s="21"/>
    </row>
    <row r="30" spans="1:18" ht="20.100000000000001" customHeight="1" x14ac:dyDescent="0.25">
      <c r="A30" s="8" t="s">
        <v>70</v>
      </c>
      <c r="B30" s="18">
        <f>'[1]TOUR FALCON (15-08)'!H30</f>
        <v>0</v>
      </c>
      <c r="C30" s="19"/>
      <c r="D30" s="19"/>
      <c r="E30" s="20">
        <f t="shared" si="0"/>
        <v>0</v>
      </c>
      <c r="F30" s="21"/>
    </row>
    <row r="31" spans="1:18" ht="20.100000000000001" customHeight="1" x14ac:dyDescent="0.25">
      <c r="A31" s="8" t="s">
        <v>71</v>
      </c>
      <c r="B31" s="18">
        <f>'[1]TOUR FALCON (15-08)'!H31</f>
        <v>0</v>
      </c>
      <c r="C31" s="19"/>
      <c r="D31" s="19"/>
      <c r="E31" s="20">
        <f t="shared" si="0"/>
        <v>0</v>
      </c>
      <c r="F31" s="21"/>
    </row>
    <row r="32" spans="1:18" ht="20.100000000000001" customHeight="1" x14ac:dyDescent="0.25">
      <c r="A32" s="8" t="s">
        <v>72</v>
      </c>
      <c r="B32" s="18">
        <f>'[1]TOUR FALCON (15-08)'!H32</f>
        <v>0</v>
      </c>
      <c r="C32" s="19"/>
      <c r="D32" s="19"/>
      <c r="E32" s="20">
        <f t="shared" si="0"/>
        <v>0</v>
      </c>
      <c r="F32" s="21"/>
    </row>
    <row r="33" spans="1:7" ht="20.100000000000001" customHeight="1" x14ac:dyDescent="0.25">
      <c r="A33" s="8" t="s">
        <v>73</v>
      </c>
      <c r="B33" s="18">
        <f>'[1]TOUR FALCON (15-08)'!H33</f>
        <v>0</v>
      </c>
      <c r="C33" s="19"/>
      <c r="D33" s="19"/>
      <c r="E33" s="20">
        <f t="shared" si="0"/>
        <v>0</v>
      </c>
      <c r="F33" s="21"/>
    </row>
    <row r="34" spans="1:7" ht="20.100000000000001" customHeight="1" x14ac:dyDescent="0.25">
      <c r="A34" s="8" t="s">
        <v>74</v>
      </c>
      <c r="B34" s="18">
        <f>'[1]TOUR FALCON (15-08)'!H34</f>
        <v>0</v>
      </c>
      <c r="C34" s="19"/>
      <c r="D34" s="19"/>
      <c r="E34" s="20">
        <f t="shared" si="0"/>
        <v>0</v>
      </c>
      <c r="F34" s="21"/>
    </row>
    <row r="35" spans="1:7" ht="20.100000000000001" customHeight="1" x14ac:dyDescent="0.25"/>
    <row r="36" spans="1:7" ht="20.100000000000001" customHeight="1" x14ac:dyDescent="0.25">
      <c r="B36" s="15" t="s">
        <v>79</v>
      </c>
      <c r="C36" s="22">
        <f>SUM(C4:C34)</f>
        <v>1920</v>
      </c>
      <c r="D36" s="22">
        <f>SUM(D4:D34)</f>
        <v>1920</v>
      </c>
      <c r="E36" s="22">
        <f>SUM(E4:E34)</f>
        <v>0</v>
      </c>
      <c r="F36" s="22">
        <f>SUM(F4:F34)</f>
        <v>0</v>
      </c>
    </row>
    <row r="37" spans="1:7" ht="20.100000000000001" customHeight="1" x14ac:dyDescent="0.25"/>
    <row r="38" spans="1:7" ht="20.100000000000001" customHeight="1" x14ac:dyDescent="0.25"/>
    <row r="39" spans="1:7" ht="20.100000000000001" customHeight="1" x14ac:dyDescent="0.25"/>
    <row r="40" spans="1:7" ht="20.100000000000001" customHeight="1" x14ac:dyDescent="0.25"/>
    <row r="41" spans="1:7" ht="20.100000000000001" customHeight="1" x14ac:dyDescent="0.25"/>
    <row r="42" spans="1:7" ht="20.100000000000001" customHeight="1" x14ac:dyDescent="0.25"/>
    <row r="43" spans="1:7" ht="20.100000000000001" customHeight="1" x14ac:dyDescent="0.25"/>
    <row r="44" spans="1:7" ht="20.100000000000001" customHeight="1" x14ac:dyDescent="0.25"/>
    <row r="45" spans="1:7" ht="20.100000000000001" customHeight="1" x14ac:dyDescent="0.25"/>
    <row r="46" spans="1:7" ht="20.100000000000001" customHeight="1" x14ac:dyDescent="0.25"/>
    <row r="47" spans="1:7" ht="20.100000000000001" customHeight="1" x14ac:dyDescent="0.25"/>
    <row r="48" spans="1:7" ht="29.25" customHeight="1" x14ac:dyDescent="0.45">
      <c r="A48" s="23" t="s">
        <v>80</v>
      </c>
      <c r="B48" s="23"/>
      <c r="C48" s="23"/>
      <c r="D48" s="23"/>
      <c r="E48" s="23"/>
      <c r="F48" s="23"/>
      <c r="G48" s="23"/>
    </row>
    <row r="49" spans="1:11" ht="30" customHeight="1" x14ac:dyDescent="0.25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39" t="s">
        <v>85</v>
      </c>
      <c r="I49" s="64"/>
      <c r="J49" s="64"/>
      <c r="K49" s="64"/>
    </row>
    <row r="50" spans="1:11" ht="20.100000000000001" customHeight="1" x14ac:dyDescent="0.25">
      <c r="A50" s="25" t="s">
        <v>10</v>
      </c>
      <c r="B50" s="26" t="s">
        <v>445</v>
      </c>
      <c r="C50" s="27">
        <v>16776.27</v>
      </c>
      <c r="D50" s="26">
        <v>559.21</v>
      </c>
      <c r="E50" s="26">
        <v>30</v>
      </c>
      <c r="F50" s="26" t="s">
        <v>446</v>
      </c>
      <c r="G50" s="28">
        <v>46126</v>
      </c>
      <c r="H50" s="29"/>
      <c r="I50" s="64"/>
      <c r="J50" s="64"/>
      <c r="K50" s="64"/>
    </row>
    <row r="51" spans="1:11" ht="20.100000000000001" customHeight="1" x14ac:dyDescent="0.25">
      <c r="A51" s="25" t="s">
        <v>16</v>
      </c>
      <c r="B51" s="26" t="s">
        <v>445</v>
      </c>
      <c r="C51" s="27">
        <v>17225.7</v>
      </c>
      <c r="D51" s="26">
        <v>574.19000000000005</v>
      </c>
      <c r="E51" s="26">
        <v>30</v>
      </c>
      <c r="F51" s="26" t="s">
        <v>447</v>
      </c>
      <c r="G51" s="28">
        <v>46146</v>
      </c>
      <c r="H51" s="29"/>
      <c r="I51" s="64"/>
      <c r="J51" s="64"/>
      <c r="K51" s="64"/>
    </row>
    <row r="52" spans="1:11" ht="20.100000000000001" customHeight="1" x14ac:dyDescent="0.25">
      <c r="C52" s="27">
        <v>33162.019999999997</v>
      </c>
      <c r="D52" s="26">
        <v>838.07</v>
      </c>
      <c r="E52" s="26">
        <v>45</v>
      </c>
      <c r="F52" s="26" t="s">
        <v>448</v>
      </c>
      <c r="G52" s="28">
        <v>46221</v>
      </c>
      <c r="H52" s="65" t="s">
        <v>449</v>
      </c>
      <c r="I52" s="64"/>
      <c r="J52" s="64"/>
      <c r="K52" s="64"/>
    </row>
    <row r="53" spans="1:11" ht="20.100000000000001" customHeight="1" x14ac:dyDescent="0.25">
      <c r="C53" s="27">
        <v>33162.019999999997</v>
      </c>
      <c r="D53" s="26">
        <v>838.07</v>
      </c>
      <c r="E53" s="26">
        <v>45</v>
      </c>
      <c r="F53" s="26" t="s">
        <v>450</v>
      </c>
      <c r="G53" s="28">
        <v>46221</v>
      </c>
      <c r="H53" s="65" t="s">
        <v>449</v>
      </c>
      <c r="I53" s="64"/>
      <c r="J53" s="64"/>
      <c r="K53" s="64"/>
    </row>
    <row r="54" spans="1:11" ht="20.100000000000001" customHeight="1" x14ac:dyDescent="0.25">
      <c r="H54" s="30"/>
      <c r="I54" s="64"/>
      <c r="J54" s="64"/>
      <c r="K54" s="64"/>
    </row>
    <row r="55" spans="1:11" ht="20.100000000000001" customHeight="1" x14ac:dyDescent="0.25">
      <c r="H55" s="30"/>
      <c r="I55" s="64"/>
      <c r="J55" s="64"/>
      <c r="K55" s="64"/>
    </row>
    <row r="56" spans="1:11" ht="20.100000000000001" customHeight="1" x14ac:dyDescent="0.25">
      <c r="H56" s="30"/>
      <c r="I56" s="64"/>
      <c r="J56" s="64"/>
      <c r="K56" s="64"/>
    </row>
    <row r="57" spans="1:11" ht="20.100000000000001" customHeight="1" x14ac:dyDescent="0.25">
      <c r="A57" s="25" t="s">
        <v>65</v>
      </c>
      <c r="B57" s="26" t="s">
        <v>451</v>
      </c>
      <c r="C57" s="27"/>
      <c r="D57" s="26"/>
      <c r="E57" s="26">
        <v>40</v>
      </c>
      <c r="F57" s="26" t="s">
        <v>452</v>
      </c>
      <c r="G57" s="28">
        <v>46197</v>
      </c>
      <c r="H57" s="30"/>
      <c r="I57" s="64"/>
      <c r="J57" s="64"/>
      <c r="K57" s="64"/>
    </row>
    <row r="58" spans="1:11" ht="20.100000000000001" customHeight="1" x14ac:dyDescent="0.25">
      <c r="A58" s="25" t="s">
        <v>67</v>
      </c>
      <c r="B58" s="26" t="s">
        <v>451</v>
      </c>
      <c r="C58" s="27">
        <v>113105.79</v>
      </c>
      <c r="D58" s="26">
        <v>870.04</v>
      </c>
      <c r="E58" s="26">
        <v>130</v>
      </c>
      <c r="F58" s="26" t="s">
        <v>453</v>
      </c>
      <c r="G58" s="28">
        <v>46239</v>
      </c>
      <c r="H58" s="32"/>
      <c r="I58" s="64"/>
      <c r="J58" s="64"/>
      <c r="K58" s="64"/>
    </row>
    <row r="59" spans="1:11" ht="20.100000000000001" customHeight="1" x14ac:dyDescent="0.25">
      <c r="H59" s="32"/>
      <c r="I59" s="64"/>
      <c r="J59" s="64"/>
      <c r="K59" s="64"/>
    </row>
    <row r="60" spans="1:11" ht="20.100000000000001" customHeight="1" x14ac:dyDescent="0.25">
      <c r="H60" s="32"/>
      <c r="I60" s="64"/>
      <c r="J60" s="64"/>
      <c r="K60" s="64"/>
    </row>
    <row r="61" spans="1:11" ht="20.100000000000001" customHeight="1" x14ac:dyDescent="0.25">
      <c r="H61" s="30"/>
      <c r="I61" s="64"/>
      <c r="J61" s="64"/>
      <c r="K61" s="64"/>
    </row>
    <row r="62" spans="1:11" ht="20.100000000000001" customHeight="1" x14ac:dyDescent="0.25">
      <c r="A62" s="25" t="s">
        <v>50</v>
      </c>
      <c r="B62" s="26" t="s">
        <v>454</v>
      </c>
      <c r="C62" s="27">
        <v>45347.48</v>
      </c>
      <c r="D62" s="26">
        <v>566.84</v>
      </c>
      <c r="E62" s="26">
        <v>80</v>
      </c>
      <c r="F62" s="26" t="s">
        <v>455</v>
      </c>
      <c r="G62" s="28">
        <v>46136</v>
      </c>
      <c r="H62" s="30"/>
      <c r="I62" s="64"/>
      <c r="J62" s="64"/>
      <c r="K62" s="64"/>
    </row>
    <row r="63" spans="1:11" ht="20.100000000000001" customHeight="1" x14ac:dyDescent="0.25">
      <c r="A63" s="25" t="s">
        <v>54</v>
      </c>
      <c r="B63" s="26" t="s">
        <v>454</v>
      </c>
      <c r="C63" s="27">
        <v>61265.19</v>
      </c>
      <c r="D63" s="26">
        <v>875.22</v>
      </c>
      <c r="E63" s="26">
        <v>70</v>
      </c>
      <c r="F63" s="26" t="s">
        <v>456</v>
      </c>
      <c r="G63" s="28">
        <v>46244</v>
      </c>
      <c r="H63" s="30"/>
      <c r="I63" s="64"/>
      <c r="J63" s="64"/>
      <c r="K63" s="64"/>
    </row>
    <row r="64" spans="1:11" ht="20.100000000000001" customHeight="1" x14ac:dyDescent="0.25">
      <c r="H64" s="32"/>
      <c r="I64" s="64"/>
      <c r="J64" s="64"/>
      <c r="K64" s="64"/>
    </row>
    <row r="65" spans="1:11" ht="20.100000000000001" customHeight="1" x14ac:dyDescent="0.25">
      <c r="H65" s="32"/>
      <c r="I65" s="64"/>
      <c r="J65" s="64"/>
      <c r="K65" s="64"/>
    </row>
    <row r="66" spans="1:11" ht="20.100000000000001" customHeight="1" x14ac:dyDescent="0.25">
      <c r="H66" s="32"/>
      <c r="I66" s="64"/>
      <c r="J66" s="64"/>
      <c r="K66" s="64"/>
    </row>
    <row r="67" spans="1:11" ht="20.100000000000001" customHeight="1" x14ac:dyDescent="0.25">
      <c r="A67" s="25" t="s">
        <v>20</v>
      </c>
      <c r="B67" s="26" t="s">
        <v>457</v>
      </c>
      <c r="C67" s="27">
        <v>10490.16</v>
      </c>
      <c r="D67" s="26">
        <v>520.64</v>
      </c>
      <c r="E67" s="26">
        <v>20</v>
      </c>
      <c r="F67" s="26" t="s">
        <v>458</v>
      </c>
      <c r="G67" s="28">
        <v>46100</v>
      </c>
      <c r="H67" s="32"/>
      <c r="I67" s="64"/>
      <c r="J67" s="64"/>
      <c r="K67" s="64"/>
    </row>
    <row r="68" spans="1:11" ht="20.100000000000001" customHeight="1" x14ac:dyDescent="0.25">
      <c r="A68" s="25" t="s">
        <v>26</v>
      </c>
      <c r="B68" s="26" t="s">
        <v>457</v>
      </c>
      <c r="C68" s="27">
        <v>11351.6</v>
      </c>
      <c r="D68" s="26">
        <v>567.58000000000004</v>
      </c>
      <c r="E68" s="26">
        <v>20</v>
      </c>
      <c r="F68" s="26" t="s">
        <v>459</v>
      </c>
      <c r="G68" s="28">
        <v>46133</v>
      </c>
      <c r="H68" s="32"/>
      <c r="I68" s="64"/>
      <c r="J68" s="64"/>
      <c r="K68" s="64"/>
    </row>
    <row r="69" spans="1:11" ht="20.100000000000001" customHeight="1" x14ac:dyDescent="0.25">
      <c r="C69" s="27">
        <v>65055.72</v>
      </c>
      <c r="D69" s="26">
        <v>650.55999999999995</v>
      </c>
      <c r="E69" s="26">
        <v>100</v>
      </c>
      <c r="F69" s="26" t="s">
        <v>460</v>
      </c>
      <c r="G69" s="28">
        <v>46176</v>
      </c>
      <c r="H69" s="32"/>
      <c r="I69" s="64"/>
      <c r="J69" s="64"/>
      <c r="K69" s="64"/>
    </row>
    <row r="70" spans="1:11" ht="20.100000000000001" customHeight="1" x14ac:dyDescent="0.25">
      <c r="H70" s="32"/>
      <c r="I70" s="64"/>
      <c r="J70" s="64"/>
      <c r="K70" s="64"/>
    </row>
    <row r="71" spans="1:11" ht="20.100000000000001" customHeight="1" x14ac:dyDescent="0.25">
      <c r="H71" s="32"/>
      <c r="I71" s="64"/>
      <c r="J71" s="64"/>
      <c r="K71" s="64"/>
    </row>
    <row r="72" spans="1:11" ht="20.100000000000001" customHeight="1" x14ac:dyDescent="0.25">
      <c r="H72" s="32"/>
      <c r="I72" s="64"/>
      <c r="J72" s="64"/>
      <c r="K72" s="64"/>
    </row>
    <row r="73" spans="1:11" ht="20.100000000000001" customHeight="1" x14ac:dyDescent="0.25">
      <c r="A73" s="25" t="s">
        <v>64</v>
      </c>
      <c r="B73" s="26" t="s">
        <v>413</v>
      </c>
      <c r="C73" s="27">
        <v>20142.7</v>
      </c>
      <c r="D73" s="26">
        <v>671.42</v>
      </c>
      <c r="E73" s="26">
        <v>30</v>
      </c>
      <c r="F73" s="26" t="s">
        <v>461</v>
      </c>
      <c r="G73" s="28">
        <v>46185</v>
      </c>
      <c r="H73" s="32"/>
      <c r="I73" s="64"/>
      <c r="J73" s="64"/>
      <c r="K73" s="64"/>
    </row>
    <row r="74" spans="1:11" ht="20.100000000000001" customHeight="1" x14ac:dyDescent="0.25">
      <c r="C74" s="27">
        <v>37712.949999999997</v>
      </c>
      <c r="D74" s="26">
        <v>838.07</v>
      </c>
      <c r="E74" s="26">
        <v>45</v>
      </c>
      <c r="F74" s="26" t="s">
        <v>462</v>
      </c>
      <c r="G74" s="28">
        <v>46220</v>
      </c>
      <c r="H74" s="32"/>
      <c r="I74" s="64"/>
      <c r="J74" s="64"/>
      <c r="K74" s="64"/>
    </row>
    <row r="75" spans="1:11" ht="20.100000000000001" customHeight="1" x14ac:dyDescent="0.25">
      <c r="H75" s="32"/>
      <c r="I75" s="64"/>
      <c r="J75" s="64"/>
      <c r="K75" s="64"/>
    </row>
    <row r="76" spans="1:11" ht="20.100000000000001" customHeight="1" x14ac:dyDescent="0.25">
      <c r="I76" s="64"/>
      <c r="J76" s="64"/>
      <c r="K76" s="64"/>
    </row>
    <row r="77" spans="1:11" ht="20.100000000000001" customHeight="1" x14ac:dyDescent="0.25">
      <c r="I77" s="64"/>
      <c r="J77" s="64"/>
      <c r="K77" s="64"/>
    </row>
    <row r="78" spans="1:11" ht="20.100000000000001" customHeight="1" x14ac:dyDescent="0.25">
      <c r="A78" s="25" t="s">
        <v>18</v>
      </c>
      <c r="B78" s="26" t="s">
        <v>355</v>
      </c>
      <c r="C78" s="27"/>
      <c r="D78" s="26"/>
      <c r="E78" s="26">
        <v>100</v>
      </c>
      <c r="F78" s="26" t="s">
        <v>452</v>
      </c>
      <c r="G78" s="28">
        <v>46177</v>
      </c>
      <c r="I78" s="64"/>
      <c r="J78" s="64"/>
      <c r="K78" s="64"/>
    </row>
    <row r="79" spans="1:11" ht="20.100000000000001" customHeight="1" x14ac:dyDescent="0.25">
      <c r="A79" s="25" t="s">
        <v>19</v>
      </c>
      <c r="B79" s="26" t="s">
        <v>355</v>
      </c>
      <c r="C79" s="27">
        <v>130784.17</v>
      </c>
      <c r="D79" s="26">
        <v>871.89</v>
      </c>
      <c r="E79" s="26">
        <v>150</v>
      </c>
      <c r="F79" s="26" t="s">
        <v>463</v>
      </c>
      <c r="G79" s="28">
        <v>46242</v>
      </c>
      <c r="I79" s="64"/>
      <c r="J79" s="64"/>
      <c r="K79" s="64"/>
    </row>
    <row r="80" spans="1:11" ht="20.100000000000001" customHeight="1" x14ac:dyDescent="0.25">
      <c r="A80" s="25" t="s">
        <v>48</v>
      </c>
      <c r="B80" s="26" t="s">
        <v>355</v>
      </c>
      <c r="C80" s="27">
        <v>44472.5</v>
      </c>
      <c r="D80" s="26">
        <v>889.45</v>
      </c>
      <c r="E80" s="26">
        <f>C80/D80</f>
        <v>50</v>
      </c>
      <c r="F80" s="26" t="s">
        <v>464</v>
      </c>
      <c r="G80" s="28">
        <v>46248</v>
      </c>
      <c r="I80" s="64"/>
      <c r="J80" s="64"/>
      <c r="K80" s="64"/>
    </row>
    <row r="81" spans="1:11" ht="20.100000000000001" customHeight="1" x14ac:dyDescent="0.25">
      <c r="A81" s="25" t="s">
        <v>49</v>
      </c>
      <c r="B81" s="26" t="s">
        <v>355</v>
      </c>
      <c r="C81" s="27"/>
      <c r="D81" s="26"/>
      <c r="E81" s="26"/>
      <c r="F81" s="26"/>
      <c r="G81" s="28"/>
      <c r="I81" s="64"/>
      <c r="J81" s="64"/>
      <c r="K81" s="64"/>
    </row>
    <row r="82" spans="1:11" ht="20.100000000000001" customHeight="1" x14ac:dyDescent="0.25">
      <c r="I82" s="64"/>
      <c r="J82" s="64"/>
      <c r="K82" s="64"/>
    </row>
    <row r="83" spans="1:11" ht="20.100000000000001" customHeight="1" x14ac:dyDescent="0.25">
      <c r="I83" s="64"/>
      <c r="J83" s="64"/>
      <c r="K83" s="64"/>
    </row>
    <row r="84" spans="1:11" ht="20.100000000000001" customHeight="1" x14ac:dyDescent="0.25">
      <c r="I84" s="64"/>
      <c r="J84" s="64"/>
      <c r="K84" s="64"/>
    </row>
    <row r="85" spans="1:11" ht="20.100000000000001" customHeight="1" x14ac:dyDescent="0.25">
      <c r="A85" s="25" t="s">
        <v>29</v>
      </c>
      <c r="B85" s="26" t="s">
        <v>367</v>
      </c>
      <c r="C85" s="27">
        <v>26101.34</v>
      </c>
      <c r="D85" s="26">
        <v>870.04</v>
      </c>
      <c r="E85" s="26">
        <v>30</v>
      </c>
      <c r="F85" s="26" t="s">
        <v>465</v>
      </c>
      <c r="G85" s="28">
        <v>46239</v>
      </c>
      <c r="I85" s="64"/>
      <c r="J85" s="64"/>
      <c r="K85" s="64"/>
    </row>
    <row r="86" spans="1:11" ht="20.100000000000001" customHeight="1" x14ac:dyDescent="0.25">
      <c r="A86" s="25" t="s">
        <v>30</v>
      </c>
      <c r="B86" s="26" t="s">
        <v>367</v>
      </c>
      <c r="C86" s="27">
        <v>106209.54</v>
      </c>
      <c r="D86" s="26">
        <v>885.08</v>
      </c>
      <c r="E86" s="26">
        <v>120</v>
      </c>
      <c r="F86" s="26" t="s">
        <v>466</v>
      </c>
      <c r="G86" s="28">
        <v>46247</v>
      </c>
      <c r="I86" s="64"/>
      <c r="J86" s="64"/>
      <c r="K86" s="64"/>
    </row>
    <row r="87" spans="1:11" ht="20.100000000000001" customHeight="1" x14ac:dyDescent="0.25">
      <c r="I87" s="64"/>
      <c r="J87" s="64"/>
      <c r="K87" s="64"/>
    </row>
    <row r="88" spans="1:11" ht="20.100000000000001" customHeight="1" x14ac:dyDescent="0.25">
      <c r="I88" s="64"/>
      <c r="J88" s="64"/>
      <c r="K88" s="64"/>
    </row>
    <row r="89" spans="1:11" ht="20.100000000000001" customHeight="1" x14ac:dyDescent="0.25">
      <c r="I89" s="64"/>
      <c r="J89" s="64"/>
      <c r="K89" s="64"/>
    </row>
    <row r="90" spans="1:11" ht="20.100000000000001" customHeight="1" x14ac:dyDescent="0.25">
      <c r="A90" s="25" t="s">
        <v>57</v>
      </c>
      <c r="B90" s="26" t="s">
        <v>467</v>
      </c>
      <c r="C90" s="27"/>
      <c r="D90" s="26"/>
      <c r="E90" s="26">
        <v>170</v>
      </c>
      <c r="F90" s="26" t="s">
        <v>468</v>
      </c>
      <c r="G90" s="28">
        <v>46244</v>
      </c>
      <c r="I90" s="64"/>
      <c r="J90" s="64"/>
      <c r="K90" s="64"/>
    </row>
    <row r="91" spans="1:11" ht="20.100000000000001" customHeight="1" x14ac:dyDescent="0.25">
      <c r="A91" s="25" t="s">
        <v>61</v>
      </c>
      <c r="B91" s="26" t="s">
        <v>467</v>
      </c>
      <c r="C91" s="27"/>
      <c r="D91" s="26"/>
      <c r="E91" s="26"/>
      <c r="F91" s="26"/>
      <c r="G91" s="28"/>
      <c r="I91" s="64"/>
      <c r="J91" s="64"/>
      <c r="K91" s="64"/>
    </row>
    <row r="92" spans="1:11" ht="20.100000000000001" customHeight="1" x14ac:dyDescent="0.25">
      <c r="I92" s="64"/>
      <c r="J92" s="64"/>
      <c r="K92" s="64"/>
    </row>
    <row r="93" spans="1:11" ht="20.100000000000001" customHeight="1" x14ac:dyDescent="0.25">
      <c r="I93" s="64"/>
      <c r="J93" s="64"/>
      <c r="K93" s="64"/>
    </row>
    <row r="94" spans="1:11" ht="20.100000000000001" customHeight="1" x14ac:dyDescent="0.25">
      <c r="I94" s="64"/>
      <c r="J94" s="64"/>
      <c r="K94" s="64"/>
    </row>
    <row r="95" spans="1:11" ht="20.100000000000001" customHeight="1" x14ac:dyDescent="0.25">
      <c r="A95" s="25" t="s">
        <v>35</v>
      </c>
      <c r="B95" s="26" t="s">
        <v>469</v>
      </c>
      <c r="C95" s="27">
        <v>14378.37</v>
      </c>
      <c r="D95" s="26">
        <v>706.92</v>
      </c>
      <c r="E95" s="26">
        <v>20</v>
      </c>
      <c r="F95" s="26" t="s">
        <v>470</v>
      </c>
      <c r="G95" s="28">
        <v>46196</v>
      </c>
      <c r="I95" s="64"/>
      <c r="J95" s="64"/>
      <c r="K95" s="64"/>
    </row>
    <row r="96" spans="1:11" ht="20.100000000000001" customHeight="1" x14ac:dyDescent="0.25">
      <c r="A96" s="25" t="s">
        <v>36</v>
      </c>
      <c r="B96" s="26" t="s">
        <v>469</v>
      </c>
      <c r="C96" s="27">
        <v>26380.5</v>
      </c>
      <c r="D96" s="26">
        <f>C96/E96</f>
        <v>879.35</v>
      </c>
      <c r="E96" s="26">
        <v>30</v>
      </c>
      <c r="F96" s="26" t="s">
        <v>471</v>
      </c>
      <c r="G96" s="28">
        <v>46245</v>
      </c>
      <c r="I96" s="64"/>
      <c r="J96" s="64"/>
      <c r="K96" s="64"/>
    </row>
    <row r="97" spans="1:11" ht="20.100000000000001" customHeight="1" x14ac:dyDescent="0.25">
      <c r="A97" s="25" t="s">
        <v>63</v>
      </c>
      <c r="B97" s="26" t="s">
        <v>472</v>
      </c>
      <c r="C97" s="27"/>
      <c r="D97" s="26"/>
      <c r="E97" s="26">
        <v>175</v>
      </c>
      <c r="F97" s="26" t="s">
        <v>473</v>
      </c>
      <c r="G97" s="28">
        <v>46250</v>
      </c>
      <c r="I97" s="64"/>
      <c r="J97" s="64"/>
      <c r="K97" s="64"/>
    </row>
    <row r="98" spans="1:11" ht="20.100000000000001" customHeight="1" x14ac:dyDescent="0.25">
      <c r="I98" s="64"/>
      <c r="J98" s="64"/>
      <c r="K98" s="64"/>
    </row>
    <row r="99" spans="1:11" ht="20.100000000000001" customHeight="1" x14ac:dyDescent="0.25">
      <c r="I99" s="64"/>
      <c r="J99" s="64"/>
      <c r="K99" s="64"/>
    </row>
    <row r="100" spans="1:11" ht="20.100000000000001" customHeight="1" x14ac:dyDescent="0.25">
      <c r="I100" s="64"/>
      <c r="J100" s="64"/>
      <c r="K100" s="64"/>
    </row>
    <row r="101" spans="1:11" ht="20.100000000000001" customHeight="1" x14ac:dyDescent="0.25">
      <c r="A101" s="25" t="s">
        <v>47</v>
      </c>
      <c r="B101" s="26" t="s">
        <v>426</v>
      </c>
      <c r="C101" s="27">
        <v>52761</v>
      </c>
      <c r="D101" s="26">
        <v>879.35</v>
      </c>
      <c r="E101" s="26">
        <f>C101/D101</f>
        <v>60</v>
      </c>
      <c r="F101" s="26" t="s">
        <v>474</v>
      </c>
      <c r="G101" s="28">
        <v>46245</v>
      </c>
      <c r="I101" s="64"/>
      <c r="J101" s="64"/>
      <c r="K101" s="64"/>
    </row>
    <row r="102" spans="1:11" ht="20.100000000000001" customHeight="1" x14ac:dyDescent="0.25">
      <c r="A102" s="25" t="s">
        <v>68</v>
      </c>
      <c r="B102" s="26" t="s">
        <v>426</v>
      </c>
      <c r="C102" s="27">
        <v>26380.5</v>
      </c>
      <c r="D102" s="26">
        <v>879.35</v>
      </c>
      <c r="E102" s="26">
        <f>C102/D102</f>
        <v>30</v>
      </c>
      <c r="F102" s="26" t="s">
        <v>475</v>
      </c>
      <c r="G102" s="28">
        <v>46245</v>
      </c>
      <c r="I102" s="64"/>
      <c r="J102" s="64"/>
      <c r="K102" s="64"/>
    </row>
    <row r="103" spans="1:11" ht="20.100000000000001" customHeight="1" x14ac:dyDescent="0.25">
      <c r="A103" s="25" t="s">
        <v>69</v>
      </c>
      <c r="B103" s="26" t="s">
        <v>426</v>
      </c>
      <c r="C103" s="27">
        <v>38478.15</v>
      </c>
      <c r="D103" s="26">
        <v>885.08</v>
      </c>
      <c r="E103" s="26">
        <v>43.47</v>
      </c>
      <c r="F103" s="26" t="s">
        <v>475</v>
      </c>
      <c r="G103" s="28">
        <v>46247</v>
      </c>
      <c r="I103" s="64"/>
      <c r="J103" s="64"/>
      <c r="K103" s="64"/>
    </row>
    <row r="104" spans="1:11" ht="20.100000000000001" customHeight="1" x14ac:dyDescent="0.25">
      <c r="C104" s="27">
        <v>1350.43</v>
      </c>
      <c r="D104" s="26">
        <v>885.08</v>
      </c>
      <c r="E104" s="26">
        <v>1.53</v>
      </c>
      <c r="F104" s="26" t="s">
        <v>475</v>
      </c>
      <c r="G104" s="28">
        <v>46247</v>
      </c>
      <c r="I104" s="64"/>
      <c r="J104" s="64"/>
      <c r="K104" s="64"/>
    </row>
    <row r="105" spans="1:11" ht="20.100000000000001" customHeight="1" x14ac:dyDescent="0.25">
      <c r="C105" s="27"/>
      <c r="D105" s="26"/>
      <c r="E105" s="26">
        <v>90</v>
      </c>
      <c r="F105" s="26" t="s">
        <v>473</v>
      </c>
      <c r="G105" s="28">
        <v>46250</v>
      </c>
      <c r="I105" s="64"/>
      <c r="J105" s="64"/>
      <c r="K105" s="64"/>
    </row>
    <row r="106" spans="1:11" ht="20.100000000000001" customHeight="1" x14ac:dyDescent="0.25">
      <c r="I106" s="64"/>
      <c r="J106" s="64"/>
      <c r="K106" s="64"/>
    </row>
    <row r="107" spans="1:11" ht="20.100000000000001" customHeight="1" x14ac:dyDescent="0.25">
      <c r="I107" s="64"/>
      <c r="J107" s="64"/>
      <c r="K107" s="64"/>
    </row>
    <row r="108" spans="1:11" ht="20.100000000000001" customHeight="1" x14ac:dyDescent="0.25">
      <c r="I108" s="64"/>
      <c r="J108" s="64"/>
      <c r="K108" s="64"/>
    </row>
    <row r="109" spans="1:11" ht="20.100000000000001" customHeight="1" x14ac:dyDescent="0.25">
      <c r="A109" s="25" t="s">
        <v>37</v>
      </c>
      <c r="B109" s="26" t="s">
        <v>476</v>
      </c>
      <c r="C109" s="27">
        <v>43968</v>
      </c>
      <c r="D109" s="26">
        <f>C109/E109</f>
        <v>879.36</v>
      </c>
      <c r="E109" s="26">
        <v>50</v>
      </c>
      <c r="F109" s="26" t="s">
        <v>477</v>
      </c>
      <c r="G109" s="28">
        <v>46245</v>
      </c>
      <c r="I109" s="64"/>
      <c r="J109" s="64"/>
      <c r="K109" s="64"/>
    </row>
    <row r="110" spans="1:11" ht="20.100000000000001" customHeight="1" x14ac:dyDescent="0.25">
      <c r="A110" s="25" t="s">
        <v>42</v>
      </c>
      <c r="B110" s="26" t="s">
        <v>476</v>
      </c>
      <c r="C110" s="27">
        <v>13341.81</v>
      </c>
      <c r="D110" s="26">
        <v>889.45</v>
      </c>
      <c r="E110" s="26">
        <v>15</v>
      </c>
      <c r="F110" s="26" t="s">
        <v>478</v>
      </c>
      <c r="G110" s="28">
        <v>46248</v>
      </c>
      <c r="I110" s="64"/>
      <c r="J110" s="64"/>
      <c r="K110" s="64"/>
    </row>
    <row r="111" spans="1:11" ht="20.100000000000001" customHeight="1" x14ac:dyDescent="0.25">
      <c r="C111" s="27">
        <v>88946</v>
      </c>
      <c r="D111" s="26">
        <v>889.45</v>
      </c>
      <c r="E111" s="26">
        <v>100</v>
      </c>
      <c r="F111" s="26" t="s">
        <v>479</v>
      </c>
      <c r="G111" s="28">
        <v>46249</v>
      </c>
      <c r="I111" s="64"/>
      <c r="J111" s="64"/>
      <c r="K111" s="64"/>
    </row>
    <row r="112" spans="1:11" ht="20.100000000000001" customHeight="1" x14ac:dyDescent="0.25">
      <c r="I112" s="64"/>
      <c r="J112" s="64"/>
      <c r="K112" s="64"/>
    </row>
    <row r="113" spans="1:11" ht="20.100000000000001" customHeight="1" x14ac:dyDescent="0.25">
      <c r="I113" s="64"/>
      <c r="J113" s="64"/>
      <c r="K113" s="64"/>
    </row>
    <row r="114" spans="1:11" ht="20.100000000000001" customHeight="1" x14ac:dyDescent="0.25">
      <c r="I114" s="64"/>
      <c r="J114" s="64"/>
      <c r="K114" s="64"/>
    </row>
    <row r="115" spans="1:11" ht="20.100000000000001" customHeight="1" x14ac:dyDescent="0.25">
      <c r="A115" s="25" t="s">
        <v>46</v>
      </c>
      <c r="B115" s="26" t="s">
        <v>480</v>
      </c>
      <c r="C115" s="27"/>
      <c r="D115" s="26"/>
      <c r="E115" s="26"/>
      <c r="F115" s="26"/>
      <c r="G115" s="28"/>
      <c r="I115" s="64"/>
      <c r="J115" s="64"/>
      <c r="K115" s="64"/>
    </row>
    <row r="116" spans="1:11" ht="20.100000000000001" customHeight="1" x14ac:dyDescent="0.25">
      <c r="A116" s="25" t="s">
        <v>440</v>
      </c>
      <c r="B116" s="26" t="s">
        <v>441</v>
      </c>
      <c r="C116" s="27"/>
      <c r="D116" s="26"/>
      <c r="E116" s="26"/>
      <c r="F116" s="26"/>
      <c r="G116" s="28"/>
      <c r="I116" s="64"/>
      <c r="J116" s="64"/>
      <c r="K116" s="64"/>
    </row>
    <row r="117" spans="1:11" ht="20.100000000000001" customHeight="1" x14ac:dyDescent="0.25">
      <c r="A117" s="25" t="s">
        <v>440</v>
      </c>
      <c r="B117" s="26" t="s">
        <v>442</v>
      </c>
      <c r="C117" s="27"/>
      <c r="D117" s="26"/>
      <c r="E117" s="26"/>
      <c r="F117" s="26"/>
      <c r="G117" s="28"/>
    </row>
    <row r="118" spans="1:11" ht="20.100000000000001" customHeight="1" x14ac:dyDescent="0.25">
      <c r="A118" s="25" t="s">
        <v>440</v>
      </c>
      <c r="B118" s="26" t="s">
        <v>481</v>
      </c>
      <c r="C118" s="27"/>
      <c r="D118" s="26"/>
      <c r="E118" s="26"/>
      <c r="F118" s="26"/>
      <c r="G118" s="28"/>
    </row>
    <row r="119" spans="1:11" ht="20.100000000000001" customHeight="1" x14ac:dyDescent="0.25"/>
    <row r="120" spans="1:11" ht="20.100000000000001" customHeight="1" x14ac:dyDescent="0.25"/>
    <row r="121" spans="1:11" ht="20.100000000000001" customHeight="1" x14ac:dyDescent="0.25"/>
    <row r="122" spans="1:11" ht="20.100000000000001" customHeight="1" x14ac:dyDescent="0.25">
      <c r="A122" s="25" t="s">
        <v>70</v>
      </c>
      <c r="B122" s="26" t="s">
        <v>94</v>
      </c>
      <c r="C122" s="27"/>
      <c r="D122" s="26"/>
      <c r="E122" s="26"/>
      <c r="F122" s="26"/>
      <c r="G122" s="28"/>
    </row>
    <row r="123" spans="1:11" ht="20.100000000000001" customHeight="1" x14ac:dyDescent="0.25">
      <c r="A123" s="25" t="s">
        <v>71</v>
      </c>
      <c r="B123" s="26" t="s">
        <v>94</v>
      </c>
      <c r="C123" s="27"/>
      <c r="D123" s="26"/>
      <c r="E123" s="26"/>
      <c r="F123" s="26"/>
      <c r="G123" s="28"/>
    </row>
    <row r="124" spans="1:11" ht="20.100000000000001" customHeight="1" x14ac:dyDescent="0.25">
      <c r="A124" s="25" t="s">
        <v>72</v>
      </c>
      <c r="B124" s="26" t="s">
        <v>94</v>
      </c>
      <c r="C124" s="27"/>
      <c r="D124" s="26"/>
      <c r="E124" s="26"/>
      <c r="F124" s="26"/>
      <c r="G124" s="28"/>
    </row>
    <row r="125" spans="1:11" ht="20.100000000000001" customHeight="1" x14ac:dyDescent="0.25">
      <c r="A125" s="25" t="s">
        <v>73</v>
      </c>
      <c r="B125" s="26" t="s">
        <v>94</v>
      </c>
      <c r="C125" s="27"/>
      <c r="D125" s="26"/>
      <c r="E125" s="26"/>
      <c r="F125" s="26"/>
      <c r="G125" s="28"/>
    </row>
    <row r="126" spans="1:11" ht="20.100000000000001" customHeight="1" x14ac:dyDescent="0.25">
      <c r="A126" s="25" t="s">
        <v>74</v>
      </c>
      <c r="B126" s="26" t="s">
        <v>94</v>
      </c>
      <c r="C126" s="27"/>
      <c r="D126" s="26"/>
      <c r="E126" s="26"/>
      <c r="F126" s="26"/>
      <c r="G126" s="28"/>
    </row>
    <row r="127" spans="1:11" ht="20.100000000000001" customHeight="1" x14ac:dyDescent="0.25"/>
    <row r="128" spans="1:11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</sheetData>
  <mergeCells count="15">
    <mergeCell ref="A48:G48"/>
    <mergeCell ref="L13:L14"/>
    <mergeCell ref="Q13:Q17"/>
    <mergeCell ref="F14:F15"/>
    <mergeCell ref="L17:L20"/>
    <mergeCell ref="Q20:Q24"/>
    <mergeCell ref="F22:F23"/>
    <mergeCell ref="L23:L26"/>
    <mergeCell ref="F26:F27"/>
    <mergeCell ref="A1:F1"/>
    <mergeCell ref="J1:L1"/>
    <mergeCell ref="O1:Q1"/>
    <mergeCell ref="L5:L6"/>
    <mergeCell ref="Q5:Q10"/>
    <mergeCell ref="L9:L10"/>
  </mergeCells>
  <pageMargins left="0.7" right="0.7" top="0.75" bottom="0.75" header="0.3" footer="0.3"/>
  <pageSetup scale="78" fitToHeight="0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pageSetUpPr fitToPage="1"/>
  </sheetPr>
  <dimension ref="A1:M34"/>
  <sheetViews>
    <sheetView zoomScale="62" zoomScaleNormal="62" workbookViewId="0">
      <selection activeCell="K26" sqref="K26"/>
    </sheetView>
  </sheetViews>
  <sheetFormatPr baseColWidth="10" defaultRowHeight="15" x14ac:dyDescent="0.25"/>
  <cols>
    <col min="1" max="1" width="57.42578125" customWidth="1"/>
    <col min="8" max="8" width="37.28515625" customWidth="1"/>
    <col min="9" max="9" width="15.85546875" customWidth="1"/>
    <col min="10" max="10" width="18" customWidth="1"/>
    <col min="11" max="11" width="53.140625" customWidth="1"/>
    <col min="12" max="12" width="34.5703125" customWidth="1"/>
    <col min="13" max="13" width="23.140625" customWidth="1"/>
  </cols>
  <sheetData>
    <row r="1" spans="1:13" ht="73.5" customHeight="1" x14ac:dyDescent="0.25">
      <c r="A1" s="1" t="s">
        <v>482</v>
      </c>
      <c r="B1" s="1"/>
      <c r="C1" s="1"/>
      <c r="D1" s="1"/>
      <c r="E1" s="1"/>
      <c r="G1" s="2" t="s">
        <v>483</v>
      </c>
      <c r="H1" s="2"/>
      <c r="I1" s="2"/>
      <c r="J1" s="2"/>
      <c r="K1" s="2"/>
      <c r="L1" s="3" t="s">
        <v>2</v>
      </c>
    </row>
    <row r="2" spans="1:13" ht="15.75" customHeight="1" x14ac:dyDescent="0.4">
      <c r="A2" s="1"/>
      <c r="B2" s="1"/>
      <c r="C2" s="1"/>
      <c r="D2" s="1"/>
      <c r="E2" s="1"/>
      <c r="G2" s="4" t="s">
        <v>3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7" t="s">
        <v>10</v>
      </c>
      <c r="H4" s="8" t="s">
        <v>484</v>
      </c>
      <c r="I4" s="9" t="s">
        <v>485</v>
      </c>
      <c r="J4" s="8" t="s">
        <v>486</v>
      </c>
      <c r="K4" s="10" t="s">
        <v>487</v>
      </c>
      <c r="L4" s="8" t="s">
        <v>15</v>
      </c>
    </row>
    <row r="5" spans="1:13" ht="30" customHeight="1" x14ac:dyDescent="0.25">
      <c r="G5" s="7" t="s">
        <v>16</v>
      </c>
      <c r="H5" s="8" t="s">
        <v>488</v>
      </c>
      <c r="I5" s="9" t="s">
        <v>489</v>
      </c>
      <c r="J5" s="8" t="s">
        <v>17</v>
      </c>
      <c r="K5" s="10" t="s">
        <v>487</v>
      </c>
      <c r="L5" s="8" t="s">
        <v>15</v>
      </c>
    </row>
    <row r="6" spans="1:13" ht="30" customHeight="1" x14ac:dyDescent="0.25">
      <c r="G6" s="7" t="s">
        <v>18</v>
      </c>
      <c r="H6" s="8" t="s">
        <v>490</v>
      </c>
      <c r="I6" s="9" t="s">
        <v>491</v>
      </c>
      <c r="J6" s="8" t="s">
        <v>492</v>
      </c>
      <c r="K6" s="10" t="s">
        <v>493</v>
      </c>
      <c r="L6" s="8" t="s">
        <v>15</v>
      </c>
    </row>
    <row r="7" spans="1:13" ht="30" customHeight="1" x14ac:dyDescent="0.25">
      <c r="G7" s="7" t="s">
        <v>19</v>
      </c>
      <c r="H7" s="8" t="s">
        <v>494</v>
      </c>
      <c r="I7" s="9" t="s">
        <v>17</v>
      </c>
      <c r="J7" s="8" t="s">
        <v>17</v>
      </c>
      <c r="K7" s="10" t="s">
        <v>493</v>
      </c>
      <c r="L7" s="8" t="s">
        <v>15</v>
      </c>
    </row>
    <row r="8" spans="1:13" ht="30" customHeight="1" x14ac:dyDescent="0.25">
      <c r="G8" s="7" t="s">
        <v>20</v>
      </c>
      <c r="H8" s="8" t="s">
        <v>495</v>
      </c>
      <c r="I8" s="9" t="s">
        <v>17</v>
      </c>
      <c r="J8" s="8" t="s">
        <v>17</v>
      </c>
      <c r="K8" s="10" t="s">
        <v>493</v>
      </c>
      <c r="L8" s="8" t="s">
        <v>15</v>
      </c>
    </row>
    <row r="9" spans="1:13" ht="30" customHeight="1" x14ac:dyDescent="0.25">
      <c r="G9" s="7" t="s">
        <v>26</v>
      </c>
      <c r="H9" s="8" t="s">
        <v>496</v>
      </c>
      <c r="I9" s="9" t="s">
        <v>17</v>
      </c>
      <c r="J9" s="8" t="s">
        <v>17</v>
      </c>
      <c r="K9" s="10" t="s">
        <v>493</v>
      </c>
      <c r="L9" s="8" t="s">
        <v>15</v>
      </c>
      <c r="M9" s="13"/>
    </row>
    <row r="10" spans="1:13" ht="30" customHeight="1" x14ac:dyDescent="0.25">
      <c r="G10" s="7" t="s">
        <v>29</v>
      </c>
      <c r="H10" s="8" t="s">
        <v>497</v>
      </c>
      <c r="I10" s="9" t="s">
        <v>498</v>
      </c>
      <c r="J10" s="8" t="s">
        <v>499</v>
      </c>
      <c r="K10" s="66" t="s">
        <v>500</v>
      </c>
      <c r="L10" s="8" t="s">
        <v>15</v>
      </c>
      <c r="M10" s="13"/>
    </row>
    <row r="11" spans="1:13" ht="30" customHeight="1" x14ac:dyDescent="0.25">
      <c r="G11" s="7" t="s">
        <v>30</v>
      </c>
      <c r="H11" s="8" t="s">
        <v>501</v>
      </c>
      <c r="I11" s="9" t="s">
        <v>17</v>
      </c>
      <c r="J11" s="8" t="s">
        <v>502</v>
      </c>
      <c r="K11" s="10" t="s">
        <v>493</v>
      </c>
      <c r="L11" s="8" t="s">
        <v>15</v>
      </c>
      <c r="M11" s="13"/>
    </row>
    <row r="12" spans="1:13" ht="30" customHeight="1" x14ac:dyDescent="0.25">
      <c r="G12" s="7" t="s">
        <v>35</v>
      </c>
      <c r="H12" s="8"/>
      <c r="I12" s="9"/>
      <c r="J12" s="8"/>
      <c r="K12" s="10"/>
      <c r="L12" s="8"/>
      <c r="M12" s="13"/>
    </row>
    <row r="13" spans="1:13" ht="30" customHeight="1" x14ac:dyDescent="0.25">
      <c r="G13" s="7" t="s">
        <v>36</v>
      </c>
      <c r="H13" s="8"/>
      <c r="I13" s="9"/>
      <c r="J13" s="8"/>
      <c r="K13" s="10"/>
      <c r="L13" s="8"/>
      <c r="M13" s="13"/>
    </row>
    <row r="14" spans="1:13" ht="30" customHeight="1" x14ac:dyDescent="0.25">
      <c r="G14" s="7" t="s">
        <v>37</v>
      </c>
      <c r="H14" s="8" t="s">
        <v>503</v>
      </c>
      <c r="I14" s="9" t="s">
        <v>504</v>
      </c>
      <c r="J14" s="8" t="s">
        <v>505</v>
      </c>
      <c r="K14" s="10" t="s">
        <v>506</v>
      </c>
      <c r="L14" s="8" t="s">
        <v>25</v>
      </c>
      <c r="M14" s="13"/>
    </row>
    <row r="15" spans="1:13" ht="30" customHeight="1" x14ac:dyDescent="0.25">
      <c r="G15" s="7" t="s">
        <v>42</v>
      </c>
      <c r="H15" s="8" t="s">
        <v>507</v>
      </c>
      <c r="I15" s="9" t="s">
        <v>508</v>
      </c>
      <c r="J15" s="8" t="s">
        <v>17</v>
      </c>
      <c r="K15" s="10" t="s">
        <v>506</v>
      </c>
      <c r="L15" s="8" t="s">
        <v>25</v>
      </c>
      <c r="M15" s="13"/>
    </row>
    <row r="16" spans="1:13" ht="30" customHeight="1" x14ac:dyDescent="0.25">
      <c r="G16" s="7" t="s">
        <v>46</v>
      </c>
      <c r="H16" s="8" t="s">
        <v>509</v>
      </c>
      <c r="I16" s="8" t="s">
        <v>510</v>
      </c>
      <c r="J16" s="8" t="s">
        <v>17</v>
      </c>
      <c r="K16" s="10" t="s">
        <v>506</v>
      </c>
      <c r="L16" s="8" t="s">
        <v>25</v>
      </c>
      <c r="M16" s="13"/>
    </row>
    <row r="17" spans="7:13" ht="30" customHeight="1" x14ac:dyDescent="0.25">
      <c r="G17" s="7" t="s">
        <v>47</v>
      </c>
      <c r="H17" s="8"/>
      <c r="I17" s="9"/>
      <c r="J17" s="8"/>
      <c r="K17" s="10"/>
      <c r="L17" s="8"/>
      <c r="M17" s="13"/>
    </row>
    <row r="18" spans="7:13" ht="30" customHeight="1" x14ac:dyDescent="0.25">
      <c r="G18" s="7" t="s">
        <v>48</v>
      </c>
      <c r="H18" s="8" t="s">
        <v>511</v>
      </c>
      <c r="I18" s="9" t="s">
        <v>512</v>
      </c>
      <c r="J18" s="8" t="s">
        <v>513</v>
      </c>
      <c r="K18" s="10" t="s">
        <v>514</v>
      </c>
      <c r="L18" s="8" t="s">
        <v>25</v>
      </c>
      <c r="M18" s="13"/>
    </row>
    <row r="19" spans="7:13" ht="30" customHeight="1" x14ac:dyDescent="0.25">
      <c r="G19" s="7" t="s">
        <v>49</v>
      </c>
      <c r="H19" s="8" t="s">
        <v>515</v>
      </c>
      <c r="I19" s="9" t="s">
        <v>516</v>
      </c>
      <c r="J19" s="8" t="s">
        <v>517</v>
      </c>
      <c r="K19" s="10" t="s">
        <v>514</v>
      </c>
      <c r="L19" s="8" t="s">
        <v>25</v>
      </c>
      <c r="M19" s="13"/>
    </row>
    <row r="20" spans="7:13" ht="30" customHeight="1" x14ac:dyDescent="0.25">
      <c r="G20" s="7" t="s">
        <v>50</v>
      </c>
      <c r="H20" s="8" t="s">
        <v>518</v>
      </c>
      <c r="I20" s="9" t="s">
        <v>519</v>
      </c>
      <c r="J20" s="8" t="s">
        <v>520</v>
      </c>
      <c r="K20" s="10" t="s">
        <v>521</v>
      </c>
      <c r="L20" s="8" t="s">
        <v>15</v>
      </c>
      <c r="M20" s="13"/>
    </row>
    <row r="21" spans="7:13" ht="30" customHeight="1" x14ac:dyDescent="0.25">
      <c r="G21" s="7" t="s">
        <v>54</v>
      </c>
      <c r="H21" s="8" t="s">
        <v>522</v>
      </c>
      <c r="I21" s="9" t="s">
        <v>523</v>
      </c>
      <c r="J21" s="8" t="s">
        <v>524</v>
      </c>
      <c r="K21" s="10" t="s">
        <v>521</v>
      </c>
      <c r="L21" s="8" t="s">
        <v>15</v>
      </c>
      <c r="M21" s="13"/>
    </row>
    <row r="22" spans="7:13" ht="30" customHeight="1" x14ac:dyDescent="0.25">
      <c r="G22" s="7" t="s">
        <v>57</v>
      </c>
      <c r="H22" s="8" t="s">
        <v>525</v>
      </c>
      <c r="I22" s="9" t="s">
        <v>526</v>
      </c>
      <c r="J22" s="8" t="s">
        <v>527</v>
      </c>
      <c r="K22" s="10" t="s">
        <v>521</v>
      </c>
      <c r="L22" s="8" t="s">
        <v>15</v>
      </c>
      <c r="M22" s="13"/>
    </row>
    <row r="23" spans="7:13" ht="30" customHeight="1" x14ac:dyDescent="0.25">
      <c r="G23" s="7" t="s">
        <v>61</v>
      </c>
      <c r="H23" s="8" t="s">
        <v>528</v>
      </c>
      <c r="I23" s="9" t="s">
        <v>529</v>
      </c>
      <c r="J23" s="8" t="s">
        <v>530</v>
      </c>
      <c r="K23" s="10" t="s">
        <v>521</v>
      </c>
      <c r="L23" s="8" t="s">
        <v>15</v>
      </c>
      <c r="M23" s="13"/>
    </row>
    <row r="24" spans="7:13" ht="30" customHeight="1" x14ac:dyDescent="0.25">
      <c r="G24" s="7" t="s">
        <v>63</v>
      </c>
      <c r="H24" s="8" t="s">
        <v>531</v>
      </c>
      <c r="I24" s="8" t="s">
        <v>532</v>
      </c>
      <c r="J24" s="8" t="s">
        <v>533</v>
      </c>
      <c r="K24" s="10" t="s">
        <v>534</v>
      </c>
      <c r="L24" s="8" t="s">
        <v>15</v>
      </c>
      <c r="M24" s="13"/>
    </row>
    <row r="25" spans="7:13" ht="30" customHeight="1" x14ac:dyDescent="0.25">
      <c r="G25" s="7" t="s">
        <v>64</v>
      </c>
      <c r="H25" s="8" t="s">
        <v>535</v>
      </c>
      <c r="I25" s="8" t="s">
        <v>536</v>
      </c>
      <c r="J25" s="8" t="s">
        <v>537</v>
      </c>
      <c r="K25" s="10" t="s">
        <v>534</v>
      </c>
      <c r="L25" s="8" t="s">
        <v>15</v>
      </c>
      <c r="M25" s="13"/>
    </row>
    <row r="26" spans="7:13" ht="30" customHeight="1" x14ac:dyDescent="0.25">
      <c r="G26" s="7" t="s">
        <v>65</v>
      </c>
      <c r="H26" s="8"/>
      <c r="I26" s="9"/>
      <c r="J26" s="8"/>
      <c r="K26" s="10"/>
      <c r="L26" s="8"/>
    </row>
    <row r="27" spans="7:13" ht="30" customHeight="1" x14ac:dyDescent="0.25">
      <c r="G27" s="7" t="s">
        <v>67</v>
      </c>
      <c r="H27" s="8" t="s">
        <v>538</v>
      </c>
      <c r="I27" s="8" t="s">
        <v>539</v>
      </c>
      <c r="J27" s="8" t="s">
        <v>540</v>
      </c>
      <c r="K27" s="10" t="s">
        <v>541</v>
      </c>
      <c r="L27" s="8" t="s">
        <v>15</v>
      </c>
    </row>
    <row r="28" spans="7:13" ht="30" customHeight="1" x14ac:dyDescent="0.25">
      <c r="G28" s="7" t="s">
        <v>68</v>
      </c>
      <c r="H28" s="8"/>
      <c r="I28" s="8"/>
      <c r="J28" s="8"/>
      <c r="K28" s="10"/>
      <c r="L28" s="8"/>
    </row>
    <row r="29" spans="7:13" ht="30" customHeight="1" x14ac:dyDescent="0.25">
      <c r="G29" s="7" t="s">
        <v>69</v>
      </c>
      <c r="H29" s="8"/>
      <c r="I29" s="8"/>
      <c r="J29" s="8"/>
      <c r="K29" s="10"/>
      <c r="L29" s="8"/>
    </row>
    <row r="30" spans="7:13" ht="30" customHeight="1" x14ac:dyDescent="0.25">
      <c r="G30" s="7" t="s">
        <v>70</v>
      </c>
      <c r="H30" s="8"/>
      <c r="I30" s="9"/>
      <c r="J30" s="8"/>
      <c r="K30" s="10"/>
      <c r="L30" s="8"/>
    </row>
    <row r="31" spans="7:13" ht="30" customHeight="1" x14ac:dyDescent="0.25">
      <c r="G31" s="7" t="s">
        <v>71</v>
      </c>
      <c r="H31" s="8"/>
      <c r="I31" s="8"/>
      <c r="J31" s="8"/>
      <c r="K31" s="10"/>
      <c r="L31" s="8"/>
    </row>
    <row r="32" spans="7:13" ht="30" customHeight="1" x14ac:dyDescent="0.25">
      <c r="G32" s="7" t="s">
        <v>72</v>
      </c>
      <c r="H32" s="8"/>
      <c r="I32" s="9"/>
      <c r="J32" s="8"/>
      <c r="K32" s="10"/>
      <c r="L32" s="8"/>
    </row>
    <row r="33" spans="7:12" ht="30" customHeight="1" x14ac:dyDescent="0.25">
      <c r="G33" s="7" t="s">
        <v>73</v>
      </c>
      <c r="H33" s="8"/>
      <c r="I33" s="9"/>
      <c r="J33" s="8"/>
      <c r="K33" s="10"/>
      <c r="L33" s="8"/>
    </row>
    <row r="34" spans="7:12" ht="30" customHeight="1" x14ac:dyDescent="0.25">
      <c r="G34" s="7" t="s">
        <v>74</v>
      </c>
      <c r="H34" s="8"/>
      <c r="I34" s="9"/>
      <c r="J34" s="8"/>
      <c r="K34" s="10"/>
      <c r="L34" s="8"/>
    </row>
  </sheetData>
  <mergeCells count="3">
    <mergeCell ref="A1:E4"/>
    <mergeCell ref="G1:K1"/>
    <mergeCell ref="G2:K2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A1:J155"/>
  <sheetViews>
    <sheetView zoomScale="73" zoomScaleNormal="73" workbookViewId="0">
      <selection activeCell="L41" sqref="L41"/>
    </sheetView>
  </sheetViews>
  <sheetFormatPr baseColWidth="10" defaultRowHeight="15" x14ac:dyDescent="0.25"/>
  <cols>
    <col min="2" max="2" width="34" customWidth="1"/>
    <col min="3" max="3" width="16.140625" customWidth="1"/>
    <col min="4" max="4" width="15.42578125" customWidth="1"/>
    <col min="5" max="5" width="17.85546875" customWidth="1"/>
    <col min="6" max="6" width="23.28515625" customWidth="1"/>
    <col min="7" max="7" width="23" style="37" customWidth="1"/>
  </cols>
  <sheetData>
    <row r="1" spans="1:8" ht="38.25" customHeight="1" x14ac:dyDescent="0.3">
      <c r="A1" s="14" t="s">
        <v>542</v>
      </c>
      <c r="B1" s="14"/>
      <c r="C1" s="14"/>
      <c r="D1" s="14"/>
      <c r="E1" s="14"/>
      <c r="F1" s="14"/>
    </row>
    <row r="3" spans="1:8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317</v>
      </c>
      <c r="G3" s="38"/>
      <c r="H3" s="17"/>
    </row>
    <row r="4" spans="1:8" ht="20.100000000000001" customHeight="1" x14ac:dyDescent="0.25">
      <c r="A4" s="8" t="s">
        <v>10</v>
      </c>
      <c r="B4" s="18" t="str">
        <f>'[1]CASCADA DEL VINO (16-08)'!H4</f>
        <v>NAIBETH ARRIECHE</v>
      </c>
      <c r="C4" s="19">
        <v>23</v>
      </c>
      <c r="D4" s="19">
        <v>23</v>
      </c>
      <c r="E4" s="20">
        <f t="shared" ref="E4:E34" si="0">C4-D4</f>
        <v>0</v>
      </c>
      <c r="F4" s="21"/>
    </row>
    <row r="5" spans="1:8" ht="20.100000000000001" customHeight="1" x14ac:dyDescent="0.25">
      <c r="A5" s="8" t="s">
        <v>16</v>
      </c>
      <c r="B5" s="18" t="str">
        <f>'[1]CASCADA DEL VINO (16-08)'!H5</f>
        <v>CARLINA VASQUEZ</v>
      </c>
      <c r="C5" s="19">
        <v>23</v>
      </c>
      <c r="D5" s="19">
        <v>23</v>
      </c>
      <c r="E5" s="20">
        <f t="shared" si="0"/>
        <v>0</v>
      </c>
      <c r="F5" s="21"/>
    </row>
    <row r="6" spans="1:8" ht="20.100000000000001" customHeight="1" x14ac:dyDescent="0.25">
      <c r="A6" s="8" t="s">
        <v>18</v>
      </c>
      <c r="B6" s="18" t="str">
        <f>'[1]CASCADA DEL VINO (16-08)'!H6</f>
        <v>WALESKA COUPUT</v>
      </c>
      <c r="C6" s="19">
        <v>23</v>
      </c>
      <c r="D6" s="19">
        <v>23</v>
      </c>
      <c r="E6" s="20">
        <f t="shared" si="0"/>
        <v>0</v>
      </c>
      <c r="F6" s="21"/>
    </row>
    <row r="7" spans="1:8" ht="20.100000000000001" customHeight="1" x14ac:dyDescent="0.25">
      <c r="A7" s="8" t="s">
        <v>19</v>
      </c>
      <c r="B7" s="18" t="str">
        <f>'[1]CASCADA DEL VINO (16-08)'!H7</f>
        <v>LILIANGELYS PEREZ</v>
      </c>
      <c r="C7" s="19">
        <v>23</v>
      </c>
      <c r="D7" s="19">
        <v>23</v>
      </c>
      <c r="E7" s="20">
        <f t="shared" si="0"/>
        <v>0</v>
      </c>
      <c r="F7" s="21"/>
    </row>
    <row r="8" spans="1:8" ht="20.100000000000001" customHeight="1" x14ac:dyDescent="0.25">
      <c r="A8" s="8" t="s">
        <v>20</v>
      </c>
      <c r="B8" s="18" t="str">
        <f>'[1]CASCADA DEL VINO (16-08)'!H8</f>
        <v>AVRIL MENDEZ</v>
      </c>
      <c r="C8" s="19">
        <v>23</v>
      </c>
      <c r="D8" s="19">
        <v>23</v>
      </c>
      <c r="E8" s="20">
        <f t="shared" si="0"/>
        <v>0</v>
      </c>
      <c r="F8" s="21"/>
    </row>
    <row r="9" spans="1:8" ht="20.100000000000001" customHeight="1" x14ac:dyDescent="0.25">
      <c r="A9" s="8" t="s">
        <v>26</v>
      </c>
      <c r="B9" s="18" t="str">
        <f>'[1]CASCADA DEL VINO (16-08)'!H9</f>
        <v>YEIMAR COROBA</v>
      </c>
      <c r="C9" s="19">
        <v>23</v>
      </c>
      <c r="D9" s="19">
        <v>23</v>
      </c>
      <c r="E9" s="20">
        <f t="shared" si="0"/>
        <v>0</v>
      </c>
      <c r="F9" s="21"/>
    </row>
    <row r="10" spans="1:8" ht="20.100000000000001" customHeight="1" x14ac:dyDescent="0.25">
      <c r="A10" s="8" t="s">
        <v>29</v>
      </c>
      <c r="B10" s="18" t="str">
        <f>'[1]CASCADA DEL VINO (16-08)'!H10</f>
        <v>ALEYDA JIMENEZ</v>
      </c>
      <c r="C10" s="19">
        <v>23</v>
      </c>
      <c r="D10" s="19">
        <v>23</v>
      </c>
      <c r="E10" s="20">
        <f t="shared" si="0"/>
        <v>0</v>
      </c>
      <c r="F10" s="21"/>
    </row>
    <row r="11" spans="1:8" ht="20.100000000000001" customHeight="1" x14ac:dyDescent="0.25">
      <c r="A11" s="8" t="s">
        <v>30</v>
      </c>
      <c r="B11" s="18" t="str">
        <f>'[1]CASCADA DEL VINO (16-08)'!H11</f>
        <v>JUANANGEL MENDEZ</v>
      </c>
      <c r="C11" s="19">
        <v>23</v>
      </c>
      <c r="D11" s="19">
        <v>23</v>
      </c>
      <c r="E11" s="20">
        <f t="shared" si="0"/>
        <v>0</v>
      </c>
      <c r="F11" s="21"/>
    </row>
    <row r="12" spans="1:8" ht="20.100000000000001" customHeight="1" x14ac:dyDescent="0.25">
      <c r="A12" s="8" t="s">
        <v>35</v>
      </c>
      <c r="B12" s="18">
        <f>'[1]CASCADA DEL VINO (16-08)'!H12</f>
        <v>0</v>
      </c>
      <c r="C12" s="19"/>
      <c r="D12" s="19"/>
      <c r="E12" s="20">
        <f t="shared" si="0"/>
        <v>0</v>
      </c>
      <c r="F12" s="21"/>
    </row>
    <row r="13" spans="1:8" ht="20.100000000000001" customHeight="1" x14ac:dyDescent="0.25">
      <c r="A13" s="8" t="s">
        <v>36</v>
      </c>
      <c r="B13" s="18">
        <f>'[1]CASCADA DEL VINO (16-08)'!H13</f>
        <v>0</v>
      </c>
      <c r="C13" s="19"/>
      <c r="D13" s="19"/>
      <c r="E13" s="20">
        <f t="shared" si="0"/>
        <v>0</v>
      </c>
      <c r="F13" s="21"/>
    </row>
    <row r="14" spans="1:8" ht="20.100000000000001" customHeight="1" x14ac:dyDescent="0.25">
      <c r="A14" s="8" t="s">
        <v>37</v>
      </c>
      <c r="B14" s="18" t="str">
        <f>'[1]CASCADA DEL VINO (16-08)'!H14</f>
        <v>MARYELI SEQUERA + NIÑA</v>
      </c>
      <c r="C14" s="19">
        <v>23</v>
      </c>
      <c r="D14" s="19">
        <v>10</v>
      </c>
      <c r="E14" s="20">
        <f t="shared" si="0"/>
        <v>13</v>
      </c>
      <c r="F14" s="33" t="s">
        <v>543</v>
      </c>
    </row>
    <row r="15" spans="1:8" ht="20.100000000000001" customHeight="1" x14ac:dyDescent="0.25">
      <c r="A15" s="8" t="s">
        <v>42</v>
      </c>
      <c r="B15" s="18" t="str">
        <f>'[1]CASCADA DEL VINO (16-08)'!H15</f>
        <v>ANGELINA RODRIGUEZ</v>
      </c>
      <c r="C15" s="19">
        <v>23</v>
      </c>
      <c r="D15" s="19">
        <v>10</v>
      </c>
      <c r="E15" s="20">
        <f t="shared" si="0"/>
        <v>13</v>
      </c>
      <c r="F15" s="33" t="s">
        <v>543</v>
      </c>
    </row>
    <row r="16" spans="1:8" ht="20.100000000000001" customHeight="1" x14ac:dyDescent="0.25">
      <c r="A16" s="8" t="s">
        <v>46</v>
      </c>
      <c r="B16" s="18" t="str">
        <f>'[1]CASCADA DEL VINO (16-08)'!H16</f>
        <v>FABIANA RODRIGUEZ</v>
      </c>
      <c r="C16" s="19">
        <v>23</v>
      </c>
      <c r="D16" s="19">
        <v>10</v>
      </c>
      <c r="E16" s="20">
        <f t="shared" si="0"/>
        <v>13</v>
      </c>
      <c r="F16" s="33" t="s">
        <v>543</v>
      </c>
    </row>
    <row r="17" spans="1:6" ht="20.100000000000001" customHeight="1" x14ac:dyDescent="0.25">
      <c r="A17" s="8" t="s">
        <v>47</v>
      </c>
      <c r="B17" s="18">
        <f>'[1]CASCADA DEL VINO (16-08)'!H17</f>
        <v>0</v>
      </c>
      <c r="C17" s="19"/>
      <c r="D17" s="19"/>
      <c r="E17" s="20">
        <f t="shared" si="0"/>
        <v>0</v>
      </c>
      <c r="F17" s="21"/>
    </row>
    <row r="18" spans="1:6" ht="20.100000000000001" customHeight="1" x14ac:dyDescent="0.25">
      <c r="A18" s="8" t="s">
        <v>48</v>
      </c>
      <c r="B18" s="18" t="str">
        <f>'[1]CASCADA DEL VINO (16-08)'!H18</f>
        <v>DANIMAR LEAL</v>
      </c>
      <c r="C18" s="19">
        <v>23</v>
      </c>
      <c r="D18" s="19">
        <v>23</v>
      </c>
      <c r="E18" s="20">
        <f t="shared" si="0"/>
        <v>0</v>
      </c>
      <c r="F18" s="21"/>
    </row>
    <row r="19" spans="1:6" ht="20.100000000000001" customHeight="1" x14ac:dyDescent="0.25">
      <c r="A19" s="8" t="s">
        <v>49</v>
      </c>
      <c r="B19" s="18" t="str">
        <f>'[1]CASCADA DEL VINO (16-08)'!H19</f>
        <v>PEDRO CRESPO</v>
      </c>
      <c r="C19" s="19">
        <v>23</v>
      </c>
      <c r="D19" s="19">
        <v>23</v>
      </c>
      <c r="E19" s="20">
        <f t="shared" si="0"/>
        <v>0</v>
      </c>
      <c r="F19" s="21"/>
    </row>
    <row r="20" spans="1:6" ht="20.100000000000001" customHeight="1" x14ac:dyDescent="0.25">
      <c r="A20" s="8" t="s">
        <v>50</v>
      </c>
      <c r="B20" s="18" t="str">
        <f>'[1]CASCADA DEL VINO (16-08)'!H20</f>
        <v>YAREXI PEREZ</v>
      </c>
      <c r="C20" s="19">
        <v>23</v>
      </c>
      <c r="D20" s="19">
        <v>23</v>
      </c>
      <c r="E20" s="20">
        <f t="shared" si="0"/>
        <v>0</v>
      </c>
      <c r="F20" s="21"/>
    </row>
    <row r="21" spans="1:6" ht="20.100000000000001" customHeight="1" x14ac:dyDescent="0.25">
      <c r="A21" s="8" t="s">
        <v>54</v>
      </c>
      <c r="B21" s="18" t="str">
        <f>'[1]CASCADA DEL VINO (16-08)'!H21</f>
        <v>YAIMAR PEREZ</v>
      </c>
      <c r="C21" s="19">
        <v>23</v>
      </c>
      <c r="D21" s="19">
        <v>23</v>
      </c>
      <c r="E21" s="20">
        <f t="shared" si="0"/>
        <v>0</v>
      </c>
      <c r="F21" s="21"/>
    </row>
    <row r="22" spans="1:6" ht="20.100000000000001" customHeight="1" x14ac:dyDescent="0.25">
      <c r="A22" s="8" t="s">
        <v>57</v>
      </c>
      <c r="B22" s="18" t="str">
        <f>'[1]CASCADA DEL VINO (16-08)'!H22</f>
        <v>RAIBETH CAMPOS</v>
      </c>
      <c r="C22" s="19">
        <v>23</v>
      </c>
      <c r="D22" s="19">
        <v>23</v>
      </c>
      <c r="E22" s="20">
        <f t="shared" si="0"/>
        <v>0</v>
      </c>
      <c r="F22" s="21"/>
    </row>
    <row r="23" spans="1:6" ht="20.100000000000001" customHeight="1" x14ac:dyDescent="0.25">
      <c r="A23" s="8" t="s">
        <v>61</v>
      </c>
      <c r="B23" s="18" t="str">
        <f>'[1]CASCADA DEL VINO (16-08)'!H23</f>
        <v>JHOSUE RODRIGUEZ</v>
      </c>
      <c r="C23" s="19">
        <v>23</v>
      </c>
      <c r="D23" s="19">
        <v>23</v>
      </c>
      <c r="E23" s="20">
        <f t="shared" si="0"/>
        <v>0</v>
      </c>
      <c r="F23" s="21"/>
    </row>
    <row r="24" spans="1:6" ht="20.100000000000001" customHeight="1" x14ac:dyDescent="0.25">
      <c r="A24" s="8" t="s">
        <v>63</v>
      </c>
      <c r="B24" s="18" t="str">
        <f>'[1]CASCADA DEL VINO (16-08)'!H24</f>
        <v>JAVIER BOSCAN</v>
      </c>
      <c r="C24" s="19">
        <v>23</v>
      </c>
      <c r="D24" s="19">
        <v>23</v>
      </c>
      <c r="E24" s="20">
        <f t="shared" si="0"/>
        <v>0</v>
      </c>
      <c r="F24" s="21"/>
    </row>
    <row r="25" spans="1:6" ht="20.100000000000001" customHeight="1" x14ac:dyDescent="0.25">
      <c r="A25" s="8" t="s">
        <v>64</v>
      </c>
      <c r="B25" s="18" t="str">
        <f>'[1]CASCADA DEL VINO (16-08)'!H25</f>
        <v>JOSE GONZALEZ</v>
      </c>
      <c r="C25" s="19">
        <v>23</v>
      </c>
      <c r="D25" s="19">
        <v>23</v>
      </c>
      <c r="E25" s="20">
        <f t="shared" si="0"/>
        <v>0</v>
      </c>
      <c r="F25" s="21"/>
    </row>
    <row r="26" spans="1:6" ht="20.100000000000001" customHeight="1" x14ac:dyDescent="0.25">
      <c r="A26" s="8" t="s">
        <v>65</v>
      </c>
      <c r="B26" s="18">
        <f>'[1]CASCADA DEL VINO (16-08)'!H26</f>
        <v>0</v>
      </c>
      <c r="C26" s="19"/>
      <c r="D26" s="19"/>
      <c r="E26" s="20">
        <f t="shared" si="0"/>
        <v>0</v>
      </c>
      <c r="F26" s="21"/>
    </row>
    <row r="27" spans="1:6" ht="20.100000000000001" customHeight="1" x14ac:dyDescent="0.25">
      <c r="A27" s="8" t="s">
        <v>67</v>
      </c>
      <c r="B27" s="18" t="str">
        <f>'[1]CASCADA DEL VINO (16-08)'!H27</f>
        <v>GREXI CABRERA</v>
      </c>
      <c r="C27" s="19">
        <v>23</v>
      </c>
      <c r="D27" s="19">
        <v>23</v>
      </c>
      <c r="E27" s="20">
        <f t="shared" si="0"/>
        <v>0</v>
      </c>
      <c r="F27" s="21"/>
    </row>
    <row r="28" spans="1:6" ht="20.100000000000001" customHeight="1" x14ac:dyDescent="0.25">
      <c r="A28" s="8" t="s">
        <v>68</v>
      </c>
      <c r="B28" s="18">
        <f>'[1]CASCADA DEL VINO (16-08)'!H28</f>
        <v>0</v>
      </c>
      <c r="C28" s="19"/>
      <c r="D28" s="19"/>
      <c r="E28" s="20">
        <f t="shared" si="0"/>
        <v>0</v>
      </c>
      <c r="F28" s="21"/>
    </row>
    <row r="29" spans="1:6" ht="20.100000000000001" customHeight="1" x14ac:dyDescent="0.25">
      <c r="A29" s="8" t="s">
        <v>69</v>
      </c>
      <c r="B29" s="18">
        <f>'[1]CASCADA DEL VINO (16-08)'!H29</f>
        <v>0</v>
      </c>
      <c r="C29" s="19"/>
      <c r="D29" s="19"/>
      <c r="E29" s="20">
        <f t="shared" si="0"/>
        <v>0</v>
      </c>
      <c r="F29" s="21"/>
    </row>
    <row r="30" spans="1:6" ht="20.100000000000001" customHeight="1" x14ac:dyDescent="0.25">
      <c r="A30" s="8" t="s">
        <v>70</v>
      </c>
      <c r="B30" s="18">
        <f>'[1]CASCADA DEL VINO (16-08)'!H30</f>
        <v>0</v>
      </c>
      <c r="C30" s="19"/>
      <c r="D30" s="19"/>
      <c r="E30" s="20">
        <f t="shared" si="0"/>
        <v>0</v>
      </c>
      <c r="F30" s="21"/>
    </row>
    <row r="31" spans="1:6" ht="20.100000000000001" customHeight="1" x14ac:dyDescent="0.25">
      <c r="A31" s="8" t="s">
        <v>71</v>
      </c>
      <c r="B31" s="18">
        <f>'[1]CASCADA DEL VINO (16-08)'!H31</f>
        <v>0</v>
      </c>
      <c r="C31" s="19"/>
      <c r="D31" s="19"/>
      <c r="E31" s="20">
        <f t="shared" si="0"/>
        <v>0</v>
      </c>
      <c r="F31" s="21"/>
    </row>
    <row r="32" spans="1:6" ht="20.100000000000001" customHeight="1" x14ac:dyDescent="0.25">
      <c r="A32" s="8" t="s">
        <v>72</v>
      </c>
      <c r="B32" s="18">
        <f>'[1]CASCADA DEL VINO (16-08)'!H32</f>
        <v>0</v>
      </c>
      <c r="C32" s="19"/>
      <c r="D32" s="19"/>
      <c r="E32" s="20">
        <f t="shared" si="0"/>
        <v>0</v>
      </c>
      <c r="F32" s="21"/>
    </row>
    <row r="33" spans="1:7" ht="20.100000000000001" customHeight="1" x14ac:dyDescent="0.25">
      <c r="A33" s="8" t="s">
        <v>73</v>
      </c>
      <c r="B33" s="18">
        <f>'[1]CASCADA DEL VINO (16-08)'!H33</f>
        <v>0</v>
      </c>
      <c r="C33" s="19"/>
      <c r="D33" s="19"/>
      <c r="E33" s="20">
        <f t="shared" si="0"/>
        <v>0</v>
      </c>
      <c r="F33" s="21"/>
    </row>
    <row r="34" spans="1:7" ht="20.100000000000001" customHeight="1" x14ac:dyDescent="0.25">
      <c r="A34" s="8" t="s">
        <v>74</v>
      </c>
      <c r="B34" s="18">
        <f>'[1]CASCADA DEL VINO (16-08)'!H34</f>
        <v>0</v>
      </c>
      <c r="C34" s="19"/>
      <c r="D34" s="19"/>
      <c r="E34" s="20">
        <f t="shared" si="0"/>
        <v>0</v>
      </c>
      <c r="F34" s="21"/>
    </row>
    <row r="35" spans="1:7" ht="20.100000000000001" customHeight="1" x14ac:dyDescent="0.25"/>
    <row r="36" spans="1:7" ht="20.100000000000001" customHeight="1" x14ac:dyDescent="0.25">
      <c r="B36" s="15" t="s">
        <v>79</v>
      </c>
      <c r="C36" s="22">
        <f>SUM(C4:C34)</f>
        <v>460</v>
      </c>
      <c r="D36" s="22">
        <f>SUM(D4:D34)</f>
        <v>421</v>
      </c>
      <c r="E36" s="22">
        <f>SUM(E4:E34)</f>
        <v>39</v>
      </c>
      <c r="F36" s="22">
        <f>SUM(F4:F34)</f>
        <v>0</v>
      </c>
    </row>
    <row r="48" spans="1:7" ht="29.25" customHeight="1" x14ac:dyDescent="0.45">
      <c r="A48" s="23" t="s">
        <v>80</v>
      </c>
      <c r="B48" s="23"/>
      <c r="C48" s="23"/>
      <c r="D48" s="23"/>
      <c r="E48" s="23"/>
      <c r="F48" s="23"/>
      <c r="G48" s="23"/>
    </row>
    <row r="49" spans="1:10" ht="30" customHeight="1" x14ac:dyDescent="0.25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39" t="s">
        <v>85</v>
      </c>
    </row>
    <row r="50" spans="1:10" ht="20.100000000000001" customHeight="1" x14ac:dyDescent="0.25">
      <c r="A50" s="25" t="s">
        <v>18</v>
      </c>
      <c r="B50" s="26" t="s">
        <v>490</v>
      </c>
      <c r="C50" s="27">
        <v>26468.86</v>
      </c>
      <c r="D50" s="26">
        <v>882.29</v>
      </c>
      <c r="E50" s="26">
        <v>30</v>
      </c>
      <c r="F50" s="26" t="s">
        <v>544</v>
      </c>
      <c r="G50" s="28">
        <v>46246</v>
      </c>
      <c r="H50" s="29"/>
      <c r="I50" s="30"/>
      <c r="J50" s="30"/>
    </row>
    <row r="51" spans="1:10" ht="20.100000000000001" customHeight="1" x14ac:dyDescent="0.25">
      <c r="A51" s="25" t="s">
        <v>19</v>
      </c>
      <c r="B51" s="26" t="s">
        <v>490</v>
      </c>
      <c r="C51" s="27">
        <v>20457.439999999999</v>
      </c>
      <c r="D51" s="26">
        <v>889.45</v>
      </c>
      <c r="E51" s="26">
        <v>23</v>
      </c>
      <c r="F51" s="26" t="s">
        <v>545</v>
      </c>
      <c r="G51" s="28">
        <v>46249</v>
      </c>
      <c r="H51" s="29"/>
      <c r="I51" s="30"/>
      <c r="J51" s="30"/>
    </row>
    <row r="52" spans="1:10" ht="20.100000000000001" customHeight="1" x14ac:dyDescent="0.25">
      <c r="A52" s="25" t="s">
        <v>20</v>
      </c>
      <c r="B52" s="26" t="s">
        <v>490</v>
      </c>
      <c r="C52" s="27">
        <v>34688.71</v>
      </c>
      <c r="D52" s="26">
        <v>889.45</v>
      </c>
      <c r="E52" s="26">
        <v>39</v>
      </c>
      <c r="F52" s="26" t="s">
        <v>546</v>
      </c>
      <c r="G52" s="28">
        <v>46249</v>
      </c>
      <c r="H52" s="32"/>
      <c r="I52" s="32"/>
      <c r="J52" s="32"/>
    </row>
    <row r="53" spans="1:10" ht="20.100000000000001" customHeight="1" x14ac:dyDescent="0.25">
      <c r="A53" s="25" t="s">
        <v>26</v>
      </c>
      <c r="B53" s="26" t="s">
        <v>490</v>
      </c>
      <c r="C53" s="27"/>
      <c r="D53" s="26"/>
      <c r="E53" s="26"/>
      <c r="F53" s="26"/>
      <c r="G53" s="28"/>
      <c r="H53" s="32"/>
      <c r="I53" s="32"/>
      <c r="J53" s="32"/>
    </row>
    <row r="54" spans="1:10" ht="20.100000000000001" customHeight="1" x14ac:dyDescent="0.25">
      <c r="H54" s="30"/>
      <c r="I54" s="30"/>
      <c r="J54" s="30"/>
    </row>
    <row r="55" spans="1:10" ht="20.100000000000001" customHeight="1" x14ac:dyDescent="0.25">
      <c r="H55" s="30"/>
      <c r="I55" s="30"/>
      <c r="J55" s="30"/>
    </row>
    <row r="56" spans="1:10" ht="20.100000000000001" customHeight="1" x14ac:dyDescent="0.25">
      <c r="H56" s="32"/>
      <c r="I56" s="32"/>
      <c r="J56" s="32"/>
    </row>
    <row r="57" spans="1:10" ht="20.100000000000001" customHeight="1" x14ac:dyDescent="0.25">
      <c r="A57" s="25" t="s">
        <v>29</v>
      </c>
      <c r="B57" s="26" t="s">
        <v>547</v>
      </c>
      <c r="C57" s="27">
        <v>8718.94</v>
      </c>
      <c r="D57" s="26">
        <v>871.89</v>
      </c>
      <c r="E57" s="26">
        <v>10</v>
      </c>
      <c r="F57" s="26" t="s">
        <v>548</v>
      </c>
      <c r="G57" s="28">
        <v>46242</v>
      </c>
      <c r="H57" s="32"/>
      <c r="I57" s="32"/>
      <c r="J57" s="32"/>
    </row>
    <row r="58" spans="1:10" ht="20.100000000000001" customHeight="1" x14ac:dyDescent="0.25">
      <c r="C58" s="27">
        <v>5310.48</v>
      </c>
      <c r="D58" s="26">
        <v>885.08</v>
      </c>
      <c r="E58" s="26">
        <f>C58/D58</f>
        <v>5.9999999999999991</v>
      </c>
      <c r="F58" s="26" t="s">
        <v>549</v>
      </c>
      <c r="G58" s="28">
        <v>46247</v>
      </c>
      <c r="H58" s="32"/>
      <c r="I58" s="32"/>
      <c r="J58" s="32"/>
    </row>
    <row r="59" spans="1:10" ht="20.100000000000001" customHeight="1" x14ac:dyDescent="0.25">
      <c r="C59" s="27">
        <v>5397.5</v>
      </c>
      <c r="D59" s="26">
        <v>889.45</v>
      </c>
      <c r="E59" s="26">
        <v>6</v>
      </c>
      <c r="F59" s="26" t="s">
        <v>550</v>
      </c>
      <c r="G59" s="28">
        <v>46249</v>
      </c>
      <c r="H59" s="32"/>
      <c r="I59" s="32"/>
      <c r="J59" s="32"/>
    </row>
    <row r="60" spans="1:10" ht="20.100000000000001" customHeight="1" x14ac:dyDescent="0.25">
      <c r="C60" s="27">
        <v>828.68</v>
      </c>
      <c r="D60" s="26">
        <v>889.45</v>
      </c>
      <c r="E60" s="26">
        <v>1</v>
      </c>
      <c r="F60" s="26" t="s">
        <v>551</v>
      </c>
      <c r="G60" s="28">
        <v>46249</v>
      </c>
      <c r="H60" s="32"/>
      <c r="I60" s="32"/>
      <c r="J60" s="32"/>
    </row>
    <row r="61" spans="1:10" ht="20.100000000000001" customHeight="1" x14ac:dyDescent="0.25">
      <c r="H61" s="30"/>
      <c r="I61" s="30"/>
      <c r="J61" s="30"/>
    </row>
    <row r="62" spans="1:10" ht="20.100000000000001" customHeight="1" x14ac:dyDescent="0.25">
      <c r="H62" s="30"/>
      <c r="I62" s="30"/>
      <c r="J62" s="30"/>
    </row>
    <row r="63" spans="1:10" ht="20.100000000000001" customHeight="1" x14ac:dyDescent="0.25">
      <c r="H63" s="30"/>
      <c r="I63" s="30"/>
      <c r="J63" s="30"/>
    </row>
    <row r="64" spans="1:10" ht="20.100000000000001" customHeight="1" x14ac:dyDescent="0.25">
      <c r="A64" s="25" t="s">
        <v>50</v>
      </c>
      <c r="B64" s="26" t="s">
        <v>552</v>
      </c>
      <c r="C64" s="27">
        <v>39798.239999999998</v>
      </c>
      <c r="D64" s="26">
        <v>865.18</v>
      </c>
      <c r="E64" s="26">
        <v>46</v>
      </c>
      <c r="F64" s="26" t="s">
        <v>553</v>
      </c>
      <c r="G64" s="28">
        <v>46238</v>
      </c>
      <c r="H64" s="30"/>
      <c r="I64" s="30"/>
      <c r="J64" s="30"/>
    </row>
    <row r="65" spans="1:10" ht="20.100000000000001" customHeight="1" x14ac:dyDescent="0.25">
      <c r="A65" s="25" t="s">
        <v>54</v>
      </c>
      <c r="B65" s="26" t="s">
        <v>552</v>
      </c>
      <c r="C65" s="27">
        <v>40714</v>
      </c>
      <c r="D65" s="26">
        <v>885.08</v>
      </c>
      <c r="E65" s="26">
        <v>46</v>
      </c>
      <c r="F65" s="26" t="s">
        <v>554</v>
      </c>
      <c r="G65" s="28">
        <v>46247</v>
      </c>
      <c r="H65" s="32"/>
      <c r="I65" s="32"/>
      <c r="J65" s="32"/>
    </row>
    <row r="66" spans="1:10" ht="20.100000000000001" customHeight="1" x14ac:dyDescent="0.25">
      <c r="A66" s="25" t="s">
        <v>57</v>
      </c>
      <c r="B66" s="26" t="s">
        <v>552</v>
      </c>
      <c r="C66" s="27"/>
      <c r="D66" s="26"/>
      <c r="E66" s="26"/>
      <c r="F66" s="26"/>
      <c r="G66" s="28"/>
      <c r="H66" s="32"/>
      <c r="I66" s="32"/>
      <c r="J66" s="32"/>
    </row>
    <row r="67" spans="1:10" ht="20.100000000000001" customHeight="1" x14ac:dyDescent="0.25">
      <c r="A67" s="25" t="s">
        <v>61</v>
      </c>
      <c r="B67" s="26" t="s">
        <v>552</v>
      </c>
      <c r="C67" s="27"/>
      <c r="D67" s="26"/>
      <c r="E67" s="26"/>
      <c r="F67" s="26"/>
      <c r="G67" s="28"/>
      <c r="H67" s="32"/>
      <c r="I67" s="30"/>
      <c r="J67" s="30"/>
    </row>
    <row r="68" spans="1:10" ht="20.100000000000001" customHeight="1" x14ac:dyDescent="0.25">
      <c r="H68" s="32"/>
      <c r="I68" s="30"/>
      <c r="J68" s="30"/>
    </row>
    <row r="69" spans="1:10" ht="20.100000000000001" customHeight="1" x14ac:dyDescent="0.25">
      <c r="H69" s="32"/>
      <c r="I69" s="30"/>
      <c r="J69" s="30"/>
    </row>
    <row r="70" spans="1:10" ht="20.100000000000001" customHeight="1" x14ac:dyDescent="0.25">
      <c r="H70" s="32"/>
      <c r="I70" s="30"/>
      <c r="J70" s="30"/>
    </row>
    <row r="71" spans="1:10" ht="20.100000000000001" customHeight="1" x14ac:dyDescent="0.25">
      <c r="A71" s="25" t="s">
        <v>63</v>
      </c>
      <c r="B71" s="26" t="s">
        <v>531</v>
      </c>
      <c r="C71" s="27">
        <v>17586.8</v>
      </c>
      <c r="D71" s="26">
        <v>875.22</v>
      </c>
      <c r="E71" s="26">
        <v>20</v>
      </c>
      <c r="F71" s="26" t="s">
        <v>555</v>
      </c>
      <c r="G71" s="28">
        <v>46244</v>
      </c>
      <c r="H71" s="32"/>
    </row>
    <row r="72" spans="1:10" ht="20.100000000000001" customHeight="1" x14ac:dyDescent="0.25">
      <c r="A72" s="25" t="s">
        <v>64</v>
      </c>
      <c r="B72" s="26" t="s">
        <v>531</v>
      </c>
      <c r="C72" s="27"/>
      <c r="D72" s="26"/>
      <c r="E72" s="26">
        <v>26</v>
      </c>
      <c r="F72" s="26" t="s">
        <v>473</v>
      </c>
      <c r="G72" s="28">
        <v>46250</v>
      </c>
      <c r="H72" s="32"/>
    </row>
    <row r="73" spans="1:10" ht="20.100000000000001" customHeight="1" x14ac:dyDescent="0.25">
      <c r="H73" s="32"/>
    </row>
    <row r="74" spans="1:10" ht="20.100000000000001" customHeight="1" x14ac:dyDescent="0.25">
      <c r="H74" s="32"/>
    </row>
    <row r="75" spans="1:10" ht="20.100000000000001" customHeight="1" x14ac:dyDescent="0.25">
      <c r="H75" s="32"/>
    </row>
    <row r="76" spans="1:10" ht="20.100000000000001" customHeight="1" x14ac:dyDescent="0.25">
      <c r="A76" s="25" t="s">
        <v>67</v>
      </c>
      <c r="B76" s="26" t="s">
        <v>556</v>
      </c>
      <c r="C76" s="27"/>
      <c r="D76" s="26"/>
      <c r="E76" s="26">
        <v>23</v>
      </c>
      <c r="F76" s="26" t="s">
        <v>557</v>
      </c>
      <c r="G76" s="28">
        <v>46249</v>
      </c>
      <c r="H76" s="32"/>
    </row>
    <row r="77" spans="1:10" ht="20.100000000000001" customHeight="1" x14ac:dyDescent="0.25"/>
    <row r="78" spans="1:10" ht="20.100000000000001" customHeight="1" x14ac:dyDescent="0.25"/>
    <row r="79" spans="1:10" ht="20.100000000000001" customHeight="1" x14ac:dyDescent="0.25"/>
    <row r="80" spans="1:10" ht="20.100000000000001" customHeight="1" x14ac:dyDescent="0.25">
      <c r="A80" s="25" t="s">
        <v>48</v>
      </c>
      <c r="B80" s="26" t="s">
        <v>515</v>
      </c>
      <c r="C80" s="27">
        <v>40915</v>
      </c>
      <c r="D80" s="26">
        <v>889.45</v>
      </c>
      <c r="E80" s="26">
        <v>46</v>
      </c>
      <c r="F80" s="26" t="s">
        <v>558</v>
      </c>
      <c r="G80" s="28">
        <v>46248</v>
      </c>
    </row>
    <row r="81" spans="1:10" ht="20.100000000000001" customHeight="1" x14ac:dyDescent="0.25">
      <c r="A81" s="25" t="s">
        <v>49</v>
      </c>
      <c r="B81" s="26" t="s">
        <v>515</v>
      </c>
      <c r="C81" s="27"/>
      <c r="D81" s="26"/>
      <c r="E81" s="26"/>
      <c r="F81" s="26"/>
      <c r="G81" s="28"/>
    </row>
    <row r="82" spans="1:10" ht="20.100000000000001" customHeight="1" x14ac:dyDescent="0.25"/>
    <row r="83" spans="1:10" ht="20.100000000000001" customHeight="1" x14ac:dyDescent="0.25"/>
    <row r="84" spans="1:10" ht="20.100000000000001" customHeight="1" x14ac:dyDescent="0.25"/>
    <row r="85" spans="1:10" ht="20.100000000000001" customHeight="1" x14ac:dyDescent="0.25">
      <c r="A85" s="25" t="s">
        <v>10</v>
      </c>
      <c r="B85" s="26" t="s">
        <v>559</v>
      </c>
      <c r="C85" s="27">
        <v>40914.879999999997</v>
      </c>
      <c r="D85" s="26">
        <v>889.45</v>
      </c>
      <c r="E85" s="26">
        <v>46</v>
      </c>
      <c r="F85" s="26" t="s">
        <v>560</v>
      </c>
      <c r="G85" s="28">
        <v>46248</v>
      </c>
    </row>
    <row r="86" spans="1:10" ht="20.100000000000001" customHeight="1" x14ac:dyDescent="0.25">
      <c r="A86" s="25" t="s">
        <v>16</v>
      </c>
      <c r="B86" s="26" t="s">
        <v>559</v>
      </c>
      <c r="C86" s="27"/>
      <c r="D86" s="26"/>
      <c r="E86" s="26"/>
      <c r="F86" s="26"/>
      <c r="G86" s="28"/>
    </row>
    <row r="87" spans="1:10" ht="20.100000000000001" customHeight="1" x14ac:dyDescent="0.25"/>
    <row r="88" spans="1:10" ht="20.100000000000001" customHeight="1" x14ac:dyDescent="0.25"/>
    <row r="89" spans="1:10" ht="20.100000000000001" customHeight="1" thickBot="1" x14ac:dyDescent="0.3"/>
    <row r="90" spans="1:10" ht="20.100000000000001" customHeight="1" x14ac:dyDescent="0.25">
      <c r="A90" s="25" t="s">
        <v>37</v>
      </c>
      <c r="B90" s="26" t="s">
        <v>561</v>
      </c>
      <c r="C90" s="27">
        <v>22350</v>
      </c>
      <c r="D90" s="26">
        <v>889.45</v>
      </c>
      <c r="E90" s="26">
        <v>25</v>
      </c>
      <c r="F90" s="26" t="s">
        <v>562</v>
      </c>
      <c r="G90" s="36">
        <v>46250</v>
      </c>
      <c r="H90" s="67" t="s">
        <v>563</v>
      </c>
      <c r="I90" s="68"/>
      <c r="J90" s="69"/>
    </row>
    <row r="91" spans="1:10" ht="20.100000000000001" customHeight="1" x14ac:dyDescent="0.25">
      <c r="A91" s="25" t="s">
        <v>42</v>
      </c>
      <c r="B91" s="26" t="s">
        <v>561</v>
      </c>
      <c r="C91" s="27">
        <v>4500</v>
      </c>
      <c r="D91" s="26">
        <v>889.45</v>
      </c>
      <c r="E91" s="26">
        <v>5</v>
      </c>
      <c r="F91" s="26" t="s">
        <v>562</v>
      </c>
      <c r="G91" s="36">
        <v>46250</v>
      </c>
      <c r="H91" s="70"/>
      <c r="I91" s="71"/>
      <c r="J91" s="72"/>
    </row>
    <row r="92" spans="1:10" ht="20.100000000000001" customHeight="1" thickBot="1" x14ac:dyDescent="0.3">
      <c r="A92" s="25" t="s">
        <v>46</v>
      </c>
      <c r="B92" s="26" t="s">
        <v>561</v>
      </c>
      <c r="C92" s="27"/>
      <c r="D92" s="26"/>
      <c r="E92" s="26"/>
      <c r="F92" s="26"/>
      <c r="G92" s="36"/>
      <c r="H92" s="73"/>
      <c r="I92" s="74"/>
      <c r="J92" s="75"/>
    </row>
    <row r="93" spans="1:10" ht="20.100000000000001" customHeight="1" x14ac:dyDescent="0.25"/>
    <row r="94" spans="1:10" ht="20.100000000000001" customHeight="1" x14ac:dyDescent="0.25"/>
    <row r="95" spans="1:10" ht="20.100000000000001" customHeight="1" x14ac:dyDescent="0.25"/>
    <row r="96" spans="1:10" ht="20.100000000000001" customHeight="1" x14ac:dyDescent="0.25">
      <c r="A96" s="25" t="s">
        <v>30</v>
      </c>
      <c r="B96" s="26" t="s">
        <v>564</v>
      </c>
      <c r="C96" s="27">
        <v>8900</v>
      </c>
      <c r="D96" s="26">
        <v>889.45</v>
      </c>
      <c r="E96" s="26">
        <v>10</v>
      </c>
      <c r="F96" s="26" t="s">
        <v>565</v>
      </c>
      <c r="G96" s="28">
        <v>46248</v>
      </c>
    </row>
    <row r="97" spans="1:7" ht="20.100000000000001" customHeight="1" x14ac:dyDescent="0.25">
      <c r="C97" s="27">
        <v>11570</v>
      </c>
      <c r="D97" s="26">
        <v>889.45</v>
      </c>
      <c r="E97" s="26">
        <v>13</v>
      </c>
      <c r="F97" s="26" t="s">
        <v>566</v>
      </c>
      <c r="G97" s="28">
        <v>46249</v>
      </c>
    </row>
    <row r="98" spans="1:7" ht="20.100000000000001" customHeight="1" x14ac:dyDescent="0.25"/>
    <row r="99" spans="1:7" ht="20.100000000000001" customHeight="1" x14ac:dyDescent="0.25"/>
    <row r="100" spans="1:7" ht="20.100000000000001" customHeight="1" x14ac:dyDescent="0.25"/>
    <row r="101" spans="1:7" ht="20.100000000000001" customHeight="1" x14ac:dyDescent="0.25">
      <c r="A101" s="25" t="s">
        <v>35</v>
      </c>
      <c r="B101" s="26" t="s">
        <v>94</v>
      </c>
      <c r="C101" s="27"/>
      <c r="D101" s="26"/>
      <c r="E101" s="26"/>
      <c r="F101" s="26"/>
      <c r="G101" s="28"/>
    </row>
    <row r="102" spans="1:7" ht="20.100000000000001" customHeight="1" x14ac:dyDescent="0.25">
      <c r="A102" s="25" t="s">
        <v>36</v>
      </c>
      <c r="B102" s="26" t="s">
        <v>94</v>
      </c>
      <c r="C102" s="27"/>
      <c r="D102" s="26"/>
      <c r="E102" s="26"/>
      <c r="F102" s="26"/>
      <c r="G102" s="28"/>
    </row>
    <row r="103" spans="1:7" ht="20.100000000000001" customHeight="1" x14ac:dyDescent="0.25">
      <c r="A103" s="25" t="s">
        <v>47</v>
      </c>
      <c r="B103" s="26" t="s">
        <v>94</v>
      </c>
      <c r="C103" s="27"/>
      <c r="D103" s="26"/>
      <c r="E103" s="26"/>
      <c r="F103" s="26"/>
      <c r="G103" s="28"/>
    </row>
    <row r="104" spans="1:7" ht="20.100000000000001" customHeight="1" x14ac:dyDescent="0.25">
      <c r="A104" s="25" t="s">
        <v>65</v>
      </c>
      <c r="B104" s="26" t="s">
        <v>94</v>
      </c>
      <c r="C104" s="27"/>
      <c r="D104" s="26"/>
      <c r="E104" s="26"/>
      <c r="F104" s="26"/>
      <c r="G104" s="28"/>
    </row>
    <row r="105" spans="1:7" ht="20.100000000000001" customHeight="1" x14ac:dyDescent="0.25">
      <c r="A105" s="25" t="s">
        <v>68</v>
      </c>
      <c r="B105" s="26" t="s">
        <v>94</v>
      </c>
      <c r="C105" s="27"/>
      <c r="D105" s="26"/>
      <c r="E105" s="26"/>
      <c r="F105" s="26"/>
      <c r="G105" s="28"/>
    </row>
    <row r="106" spans="1:7" ht="20.100000000000001" customHeight="1" x14ac:dyDescent="0.25">
      <c r="A106" s="25" t="s">
        <v>69</v>
      </c>
      <c r="B106" s="26" t="s">
        <v>94</v>
      </c>
      <c r="C106" s="27"/>
      <c r="D106" s="26"/>
      <c r="E106" s="26"/>
      <c r="F106" s="26"/>
      <c r="G106" s="28"/>
    </row>
    <row r="107" spans="1:7" ht="20.100000000000001" customHeight="1" x14ac:dyDescent="0.25">
      <c r="A107" s="25" t="s">
        <v>70</v>
      </c>
      <c r="B107" s="26" t="s">
        <v>94</v>
      </c>
      <c r="C107" s="27"/>
      <c r="D107" s="26"/>
      <c r="E107" s="26"/>
      <c r="F107" s="26"/>
      <c r="G107" s="28"/>
    </row>
    <row r="108" spans="1:7" ht="20.100000000000001" customHeight="1" x14ac:dyDescent="0.25">
      <c r="A108" s="25" t="s">
        <v>71</v>
      </c>
      <c r="B108" s="26" t="s">
        <v>94</v>
      </c>
      <c r="C108" s="27"/>
      <c r="D108" s="26"/>
      <c r="E108" s="26"/>
      <c r="F108" s="26"/>
      <c r="G108" s="28"/>
    </row>
    <row r="109" spans="1:7" ht="20.100000000000001" customHeight="1" x14ac:dyDescent="0.25">
      <c r="A109" s="25" t="s">
        <v>72</v>
      </c>
      <c r="B109" s="26" t="s">
        <v>94</v>
      </c>
      <c r="C109" s="27"/>
      <c r="D109" s="26"/>
      <c r="E109" s="26"/>
      <c r="F109" s="26"/>
      <c r="G109" s="28"/>
    </row>
    <row r="110" spans="1:7" ht="20.100000000000001" customHeight="1" x14ac:dyDescent="0.25">
      <c r="A110" s="25" t="s">
        <v>73</v>
      </c>
      <c r="B110" s="26" t="s">
        <v>94</v>
      </c>
      <c r="C110" s="27"/>
      <c r="D110" s="26"/>
      <c r="E110" s="26"/>
      <c r="F110" s="26"/>
      <c r="G110" s="28"/>
    </row>
    <row r="111" spans="1:7" ht="20.100000000000001" customHeight="1" x14ac:dyDescent="0.25">
      <c r="A111" s="25" t="s">
        <v>74</v>
      </c>
      <c r="B111" s="26" t="s">
        <v>94</v>
      </c>
      <c r="C111" s="27"/>
      <c r="D111" s="26"/>
      <c r="E111" s="26"/>
      <c r="F111" s="26"/>
      <c r="G111" s="28"/>
    </row>
    <row r="112" spans="1:7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</sheetData>
  <mergeCells count="3">
    <mergeCell ref="A1:F1"/>
    <mergeCell ref="A48:G48"/>
    <mergeCell ref="H90:J92"/>
  </mergeCells>
  <pageMargins left="0.7" right="0.7" top="0.75" bottom="0.75" header="0.3" footer="0.3"/>
  <pageSetup scale="78" fitToHeight="0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pageSetUpPr fitToPage="1"/>
  </sheetPr>
  <dimension ref="A1:M35"/>
  <sheetViews>
    <sheetView zoomScale="62" zoomScaleNormal="62" workbookViewId="0">
      <selection activeCell="K35" sqref="K35"/>
    </sheetView>
  </sheetViews>
  <sheetFormatPr baseColWidth="10" defaultRowHeight="15" x14ac:dyDescent="0.25"/>
  <cols>
    <col min="1" max="1" width="57.42578125" customWidth="1"/>
    <col min="8" max="8" width="32" customWidth="1"/>
    <col min="9" max="9" width="15.85546875" customWidth="1"/>
    <col min="10" max="10" width="18" customWidth="1"/>
    <col min="11" max="11" width="60" customWidth="1"/>
    <col min="12" max="12" width="38.42578125" customWidth="1"/>
    <col min="13" max="13" width="23.140625" customWidth="1"/>
  </cols>
  <sheetData>
    <row r="1" spans="1:13" ht="73.5" customHeight="1" x14ac:dyDescent="0.25">
      <c r="A1" s="1" t="s">
        <v>567</v>
      </c>
      <c r="B1" s="1"/>
      <c r="C1" s="1"/>
      <c r="D1" s="1"/>
      <c r="E1" s="1"/>
      <c r="G1" s="2" t="s">
        <v>568</v>
      </c>
      <c r="H1" s="2"/>
      <c r="I1" s="2"/>
      <c r="J1" s="2"/>
      <c r="K1" s="2"/>
      <c r="L1" s="3" t="s">
        <v>569</v>
      </c>
    </row>
    <row r="2" spans="1:13" ht="19.5" customHeight="1" x14ac:dyDescent="0.4">
      <c r="A2" s="1"/>
      <c r="B2" s="1"/>
      <c r="C2" s="1"/>
      <c r="D2" s="1"/>
      <c r="E2" s="1"/>
      <c r="G2" s="4" t="s">
        <v>570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49" t="s">
        <v>10</v>
      </c>
      <c r="H4" s="50" t="s">
        <v>571</v>
      </c>
      <c r="I4" s="51" t="s">
        <v>17</v>
      </c>
      <c r="J4" s="50" t="s">
        <v>17</v>
      </c>
      <c r="K4" s="52" t="s">
        <v>572</v>
      </c>
      <c r="L4" s="50" t="s">
        <v>297</v>
      </c>
    </row>
    <row r="5" spans="1:13" ht="30" customHeight="1" x14ac:dyDescent="0.25">
      <c r="G5" s="49" t="s">
        <v>16</v>
      </c>
      <c r="H5" s="50" t="s">
        <v>573</v>
      </c>
      <c r="I5" s="51" t="s">
        <v>17</v>
      </c>
      <c r="J5" s="50" t="s">
        <v>574</v>
      </c>
      <c r="K5" s="52" t="s">
        <v>572</v>
      </c>
      <c r="L5" s="50" t="s">
        <v>297</v>
      </c>
    </row>
    <row r="6" spans="1:13" ht="30" customHeight="1" x14ac:dyDescent="0.25">
      <c r="G6" s="49" t="s">
        <v>18</v>
      </c>
      <c r="H6" s="50" t="s">
        <v>575</v>
      </c>
      <c r="I6" s="51" t="s">
        <v>17</v>
      </c>
      <c r="J6" s="50" t="s">
        <v>17</v>
      </c>
      <c r="K6" s="52" t="s">
        <v>572</v>
      </c>
      <c r="L6" s="50" t="s">
        <v>297</v>
      </c>
    </row>
    <row r="7" spans="1:13" ht="30" customHeight="1" x14ac:dyDescent="0.25">
      <c r="G7" s="49" t="s">
        <v>19</v>
      </c>
      <c r="H7" s="50" t="s">
        <v>576</v>
      </c>
      <c r="I7" s="51" t="s">
        <v>17</v>
      </c>
      <c r="J7" s="50" t="s">
        <v>17</v>
      </c>
      <c r="K7" s="52" t="s">
        <v>572</v>
      </c>
      <c r="L7" s="50" t="s">
        <v>297</v>
      </c>
    </row>
    <row r="8" spans="1:13" ht="30" customHeight="1" x14ac:dyDescent="0.25">
      <c r="G8" s="49" t="s">
        <v>20</v>
      </c>
      <c r="H8" s="50" t="s">
        <v>577</v>
      </c>
      <c r="I8" s="51" t="s">
        <v>578</v>
      </c>
      <c r="J8" s="50" t="s">
        <v>579</v>
      </c>
      <c r="K8" s="52" t="s">
        <v>580</v>
      </c>
      <c r="L8" s="50" t="s">
        <v>15</v>
      </c>
    </row>
    <row r="9" spans="1:13" ht="30" customHeight="1" x14ac:dyDescent="0.25">
      <c r="G9" s="49" t="s">
        <v>26</v>
      </c>
      <c r="H9" s="50" t="s">
        <v>581</v>
      </c>
      <c r="I9" s="51" t="s">
        <v>17</v>
      </c>
      <c r="J9" s="50" t="s">
        <v>17</v>
      </c>
      <c r="K9" s="52" t="s">
        <v>580</v>
      </c>
      <c r="L9" s="50" t="s">
        <v>15</v>
      </c>
      <c r="M9" s="13"/>
    </row>
    <row r="10" spans="1:13" ht="30" customHeight="1" x14ac:dyDescent="0.25">
      <c r="G10" s="49" t="s">
        <v>29</v>
      </c>
      <c r="H10" s="50" t="s">
        <v>582</v>
      </c>
      <c r="I10" s="51" t="s">
        <v>583</v>
      </c>
      <c r="J10" s="50" t="s">
        <v>584</v>
      </c>
      <c r="K10" s="52" t="s">
        <v>585</v>
      </c>
      <c r="L10" s="50" t="s">
        <v>15</v>
      </c>
      <c r="M10" s="13"/>
    </row>
    <row r="11" spans="1:13" ht="30" customHeight="1" x14ac:dyDescent="0.25">
      <c r="G11" s="49" t="s">
        <v>30</v>
      </c>
      <c r="H11" s="50" t="s">
        <v>586</v>
      </c>
      <c r="I11" s="51" t="s">
        <v>17</v>
      </c>
      <c r="J11" s="50" t="s">
        <v>17</v>
      </c>
      <c r="K11" s="52" t="s">
        <v>585</v>
      </c>
      <c r="L11" s="50" t="s">
        <v>15</v>
      </c>
      <c r="M11" s="13"/>
    </row>
    <row r="12" spans="1:13" ht="30" customHeight="1" x14ac:dyDescent="0.25">
      <c r="G12" s="49" t="s">
        <v>35</v>
      </c>
      <c r="H12" s="50" t="s">
        <v>587</v>
      </c>
      <c r="I12" s="51" t="s">
        <v>17</v>
      </c>
      <c r="J12" s="50" t="s">
        <v>17</v>
      </c>
      <c r="K12" s="52" t="s">
        <v>580</v>
      </c>
      <c r="L12" s="50" t="s">
        <v>15</v>
      </c>
      <c r="M12" s="13"/>
    </row>
    <row r="13" spans="1:13" ht="30" customHeight="1" x14ac:dyDescent="0.25">
      <c r="G13" s="49" t="s">
        <v>36</v>
      </c>
      <c r="H13" s="50" t="s">
        <v>588</v>
      </c>
      <c r="I13" s="51" t="s">
        <v>589</v>
      </c>
      <c r="J13" s="50" t="s">
        <v>590</v>
      </c>
      <c r="K13" s="52" t="s">
        <v>591</v>
      </c>
      <c r="L13" s="50" t="s">
        <v>15</v>
      </c>
      <c r="M13" s="13"/>
    </row>
    <row r="14" spans="1:13" ht="30" customHeight="1" x14ac:dyDescent="0.25">
      <c r="G14" s="49" t="s">
        <v>37</v>
      </c>
      <c r="H14" s="50" t="s">
        <v>592</v>
      </c>
      <c r="I14" s="51" t="s">
        <v>593</v>
      </c>
      <c r="J14" s="50" t="s">
        <v>594</v>
      </c>
      <c r="K14" s="52" t="s">
        <v>595</v>
      </c>
      <c r="L14" s="50" t="s">
        <v>596</v>
      </c>
      <c r="M14" s="13"/>
    </row>
    <row r="15" spans="1:13" ht="30" customHeight="1" x14ac:dyDescent="0.25">
      <c r="G15" s="49" t="s">
        <v>42</v>
      </c>
      <c r="H15" s="50" t="s">
        <v>597</v>
      </c>
      <c r="I15" s="51" t="s">
        <v>598</v>
      </c>
      <c r="J15" s="50" t="s">
        <v>599</v>
      </c>
      <c r="K15" s="52" t="s">
        <v>600</v>
      </c>
      <c r="L15" s="50" t="s">
        <v>596</v>
      </c>
      <c r="M15" s="13"/>
    </row>
    <row r="16" spans="1:13" ht="30" customHeight="1" x14ac:dyDescent="0.25">
      <c r="G16" s="49" t="s">
        <v>46</v>
      </c>
      <c r="H16" s="50" t="s">
        <v>601</v>
      </c>
      <c r="I16" s="50" t="s">
        <v>602</v>
      </c>
      <c r="J16" s="50" t="s">
        <v>603</v>
      </c>
      <c r="K16" s="52" t="s">
        <v>604</v>
      </c>
      <c r="L16" s="50" t="s">
        <v>605</v>
      </c>
      <c r="M16" s="13"/>
    </row>
    <row r="17" spans="7:13" ht="30" customHeight="1" x14ac:dyDescent="0.25">
      <c r="G17" s="49" t="s">
        <v>47</v>
      </c>
      <c r="H17" s="50" t="s">
        <v>601</v>
      </c>
      <c r="I17" s="51" t="s">
        <v>17</v>
      </c>
      <c r="J17" s="50" t="s">
        <v>17</v>
      </c>
      <c r="K17" s="52" t="s">
        <v>604</v>
      </c>
      <c r="L17" s="50" t="s">
        <v>605</v>
      </c>
      <c r="M17" s="13"/>
    </row>
    <row r="18" spans="7:13" ht="30" customHeight="1" x14ac:dyDescent="0.25">
      <c r="G18" s="49" t="s">
        <v>48</v>
      </c>
      <c r="H18" s="50" t="s">
        <v>606</v>
      </c>
      <c r="I18" s="51" t="s">
        <v>607</v>
      </c>
      <c r="J18" s="50" t="s">
        <v>608</v>
      </c>
      <c r="K18" s="52" t="s">
        <v>609</v>
      </c>
      <c r="L18" s="50" t="s">
        <v>596</v>
      </c>
      <c r="M18" s="13"/>
    </row>
    <row r="19" spans="7:13" ht="30" customHeight="1" x14ac:dyDescent="0.25">
      <c r="G19" s="49" t="s">
        <v>49</v>
      </c>
      <c r="H19" s="50" t="s">
        <v>610</v>
      </c>
      <c r="I19" s="51" t="s">
        <v>611</v>
      </c>
      <c r="J19" s="50" t="s">
        <v>612</v>
      </c>
      <c r="K19" s="52" t="s">
        <v>609</v>
      </c>
      <c r="L19" s="50" t="s">
        <v>596</v>
      </c>
      <c r="M19" s="13"/>
    </row>
    <row r="20" spans="7:13" ht="30" customHeight="1" x14ac:dyDescent="0.25">
      <c r="G20" s="49" t="s">
        <v>50</v>
      </c>
      <c r="H20" s="50" t="s">
        <v>613</v>
      </c>
      <c r="I20" s="51" t="s">
        <v>17</v>
      </c>
      <c r="J20" s="50" t="s">
        <v>17</v>
      </c>
      <c r="K20" s="52" t="s">
        <v>585</v>
      </c>
      <c r="L20" s="50" t="s">
        <v>15</v>
      </c>
      <c r="M20" s="13"/>
    </row>
    <row r="21" spans="7:13" ht="30" customHeight="1" x14ac:dyDescent="0.25">
      <c r="G21" s="49" t="s">
        <v>54</v>
      </c>
      <c r="H21" s="50" t="s">
        <v>614</v>
      </c>
      <c r="I21" s="51" t="s">
        <v>17</v>
      </c>
      <c r="J21" s="50" t="s">
        <v>17</v>
      </c>
      <c r="K21" s="52" t="s">
        <v>585</v>
      </c>
      <c r="L21" s="50" t="s">
        <v>15</v>
      </c>
      <c r="M21" s="13"/>
    </row>
    <row r="22" spans="7:13" ht="30" customHeight="1" x14ac:dyDescent="0.25">
      <c r="G22" s="49" t="s">
        <v>57</v>
      </c>
      <c r="H22" s="50" t="s">
        <v>615</v>
      </c>
      <c r="I22" s="51" t="s">
        <v>17</v>
      </c>
      <c r="J22" s="50" t="s">
        <v>17</v>
      </c>
      <c r="K22" s="52" t="s">
        <v>585</v>
      </c>
      <c r="L22" s="50" t="s">
        <v>15</v>
      </c>
      <c r="M22" s="13"/>
    </row>
    <row r="23" spans="7:13" ht="30" customHeight="1" x14ac:dyDescent="0.25">
      <c r="G23" s="49" t="s">
        <v>61</v>
      </c>
      <c r="H23" s="50" t="s">
        <v>616</v>
      </c>
      <c r="I23" s="51" t="s">
        <v>17</v>
      </c>
      <c r="J23" s="50" t="s">
        <v>17</v>
      </c>
      <c r="K23" s="52" t="s">
        <v>591</v>
      </c>
      <c r="L23" s="50" t="s">
        <v>15</v>
      </c>
      <c r="M23" s="13"/>
    </row>
    <row r="24" spans="7:13" ht="30" customHeight="1" x14ac:dyDescent="0.25">
      <c r="G24" s="49" t="s">
        <v>63</v>
      </c>
      <c r="H24" s="50" t="s">
        <v>617</v>
      </c>
      <c r="I24" s="50" t="s">
        <v>618</v>
      </c>
      <c r="J24" s="50" t="s">
        <v>619</v>
      </c>
      <c r="K24" s="52" t="s">
        <v>620</v>
      </c>
      <c r="L24" s="50" t="s">
        <v>621</v>
      </c>
      <c r="M24" s="13"/>
    </row>
    <row r="25" spans="7:13" ht="30" customHeight="1" x14ac:dyDescent="0.25">
      <c r="G25" s="49" t="s">
        <v>64</v>
      </c>
      <c r="H25" s="50" t="s">
        <v>622</v>
      </c>
      <c r="I25" s="50" t="s">
        <v>623</v>
      </c>
      <c r="J25" s="50" t="s">
        <v>624</v>
      </c>
      <c r="K25" s="52" t="s">
        <v>620</v>
      </c>
      <c r="L25" s="50" t="s">
        <v>621</v>
      </c>
      <c r="M25" s="13"/>
    </row>
    <row r="26" spans="7:13" ht="30" customHeight="1" x14ac:dyDescent="0.25">
      <c r="G26" s="49" t="s">
        <v>65</v>
      </c>
      <c r="H26" s="50" t="s">
        <v>625</v>
      </c>
      <c r="I26" s="51" t="s">
        <v>626</v>
      </c>
      <c r="J26" s="50" t="s">
        <v>627</v>
      </c>
      <c r="K26" s="52" t="s">
        <v>628</v>
      </c>
      <c r="L26" s="50" t="s">
        <v>15</v>
      </c>
    </row>
    <row r="27" spans="7:13" ht="30" customHeight="1" x14ac:dyDescent="0.25">
      <c r="G27" s="49" t="s">
        <v>67</v>
      </c>
      <c r="H27" s="50" t="s">
        <v>629</v>
      </c>
      <c r="I27" s="51" t="s">
        <v>630</v>
      </c>
      <c r="J27" s="50" t="s">
        <v>631</v>
      </c>
      <c r="K27" s="52" t="s">
        <v>628</v>
      </c>
      <c r="L27" s="50" t="s">
        <v>15</v>
      </c>
    </row>
    <row r="28" spans="7:13" ht="30" customHeight="1" x14ac:dyDescent="0.25">
      <c r="G28" s="49" t="s">
        <v>68</v>
      </c>
      <c r="H28" s="50" t="s">
        <v>632</v>
      </c>
      <c r="I28" s="51" t="s">
        <v>633</v>
      </c>
      <c r="J28" s="50" t="s">
        <v>634</v>
      </c>
      <c r="K28" s="52" t="s">
        <v>628</v>
      </c>
      <c r="L28" s="50" t="s">
        <v>15</v>
      </c>
    </row>
    <row r="29" spans="7:13" ht="30" customHeight="1" x14ac:dyDescent="0.25">
      <c r="G29" s="49" t="s">
        <v>69</v>
      </c>
      <c r="H29" s="50" t="s">
        <v>635</v>
      </c>
      <c r="I29" s="51" t="s">
        <v>636</v>
      </c>
      <c r="J29" s="50" t="s">
        <v>637</v>
      </c>
      <c r="K29" s="52" t="s">
        <v>628</v>
      </c>
      <c r="L29" s="50" t="s">
        <v>15</v>
      </c>
    </row>
    <row r="30" spans="7:13" ht="30" customHeight="1" x14ac:dyDescent="0.25">
      <c r="G30" s="49" t="s">
        <v>70</v>
      </c>
      <c r="H30" s="50" t="s">
        <v>638</v>
      </c>
      <c r="I30" s="51" t="s">
        <v>639</v>
      </c>
      <c r="J30" s="50" t="s">
        <v>640</v>
      </c>
      <c r="K30" s="52" t="s">
        <v>641</v>
      </c>
      <c r="L30" s="50" t="s">
        <v>15</v>
      </c>
    </row>
    <row r="31" spans="7:13" ht="30" customHeight="1" x14ac:dyDescent="0.25">
      <c r="G31" s="49" t="s">
        <v>71</v>
      </c>
      <c r="H31" s="50" t="s">
        <v>642</v>
      </c>
      <c r="I31" s="50" t="s">
        <v>643</v>
      </c>
      <c r="J31" s="50" t="s">
        <v>644</v>
      </c>
      <c r="K31" s="52" t="s">
        <v>641</v>
      </c>
      <c r="L31" s="50" t="s">
        <v>15</v>
      </c>
    </row>
    <row r="32" spans="7:13" ht="30" customHeight="1" x14ac:dyDescent="0.25">
      <c r="G32" s="49" t="s">
        <v>72</v>
      </c>
      <c r="H32" s="50" t="s">
        <v>601</v>
      </c>
      <c r="I32" s="51" t="s">
        <v>17</v>
      </c>
      <c r="J32" s="50" t="s">
        <v>17</v>
      </c>
      <c r="K32" s="52" t="s">
        <v>604</v>
      </c>
      <c r="L32" s="50" t="s">
        <v>605</v>
      </c>
    </row>
    <row r="33" spans="7:12" ht="30" customHeight="1" x14ac:dyDescent="0.25">
      <c r="G33" s="49" t="s">
        <v>73</v>
      </c>
      <c r="H33" s="50" t="s">
        <v>645</v>
      </c>
      <c r="I33" s="51" t="s">
        <v>646</v>
      </c>
      <c r="J33" s="50" t="s">
        <v>647</v>
      </c>
      <c r="K33" s="52" t="s">
        <v>648</v>
      </c>
      <c r="L33" s="50" t="s">
        <v>15</v>
      </c>
    </row>
    <row r="34" spans="7:12" ht="30" customHeight="1" x14ac:dyDescent="0.25">
      <c r="G34" s="49" t="s">
        <v>74</v>
      </c>
      <c r="H34" s="50" t="s">
        <v>649</v>
      </c>
      <c r="I34" s="51" t="s">
        <v>650</v>
      </c>
      <c r="J34" s="50" t="s">
        <v>17</v>
      </c>
      <c r="K34" s="52" t="s">
        <v>648</v>
      </c>
      <c r="L34" s="50" t="s">
        <v>15</v>
      </c>
    </row>
    <row r="35" spans="7:12" x14ac:dyDescent="0.25">
      <c r="G35" s="58"/>
      <c r="H35" s="58"/>
      <c r="I35" s="58"/>
      <c r="J35" s="58"/>
      <c r="K35" s="58"/>
      <c r="L35" s="58"/>
    </row>
  </sheetData>
  <mergeCells count="3">
    <mergeCell ref="A1:E4"/>
    <mergeCell ref="G1:K1"/>
    <mergeCell ref="G2:K2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pageSetUpPr fitToPage="1"/>
  </sheetPr>
  <dimension ref="A1:Q155"/>
  <sheetViews>
    <sheetView zoomScale="73" zoomScaleNormal="73" workbookViewId="0">
      <selection activeCell="H43" sqref="H43"/>
    </sheetView>
  </sheetViews>
  <sheetFormatPr baseColWidth="10" defaultRowHeight="15" x14ac:dyDescent="0.25"/>
  <cols>
    <col min="2" max="2" width="34" customWidth="1"/>
    <col min="3" max="3" width="16.140625" customWidth="1"/>
    <col min="4" max="4" width="15.42578125" customWidth="1"/>
    <col min="5" max="5" width="17.85546875" customWidth="1"/>
    <col min="6" max="6" width="23.28515625" customWidth="1"/>
    <col min="7" max="7" width="23" style="37" customWidth="1"/>
    <col min="11" max="11" width="34.140625" customWidth="1"/>
    <col min="12" max="12" width="19.85546875" customWidth="1"/>
    <col min="13" max="13" width="16.85546875" customWidth="1"/>
    <col min="14" max="14" width="17" customWidth="1"/>
    <col min="15" max="15" width="25.7109375" customWidth="1"/>
    <col min="16" max="16" width="18.140625" customWidth="1"/>
    <col min="17" max="17" width="23.140625" customWidth="1"/>
  </cols>
  <sheetData>
    <row r="1" spans="1:8" ht="38.25" customHeight="1" x14ac:dyDescent="0.3">
      <c r="A1" s="14" t="s">
        <v>316</v>
      </c>
      <c r="B1" s="14"/>
      <c r="C1" s="14"/>
      <c r="D1" s="14"/>
      <c r="E1" s="14"/>
      <c r="F1" s="14"/>
    </row>
    <row r="3" spans="1:8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317</v>
      </c>
      <c r="G3" s="38"/>
      <c r="H3" s="17"/>
    </row>
    <row r="4" spans="1:8" ht="20.100000000000001" customHeight="1" x14ac:dyDescent="0.25">
      <c r="A4" s="8" t="s">
        <v>10</v>
      </c>
      <c r="B4" s="18" t="str">
        <f>'[1]PLAYA (22-08)'!H4</f>
        <v>FRANCY JUSTO</v>
      </c>
      <c r="C4" s="19">
        <v>23</v>
      </c>
      <c r="D4" s="19">
        <v>23</v>
      </c>
      <c r="E4" s="20">
        <f t="shared" ref="E4:E34" si="0">C4-D4</f>
        <v>0</v>
      </c>
      <c r="F4" s="21"/>
    </row>
    <row r="5" spans="1:8" ht="20.100000000000001" customHeight="1" x14ac:dyDescent="0.25">
      <c r="A5" s="8" t="s">
        <v>16</v>
      </c>
      <c r="B5" s="18" t="str">
        <f>'[1]PLAYA (22-08)'!H5</f>
        <v>SARAI VIRGUEZ</v>
      </c>
      <c r="C5" s="19">
        <v>23</v>
      </c>
      <c r="D5" s="19">
        <v>23</v>
      </c>
      <c r="E5" s="20">
        <f t="shared" si="0"/>
        <v>0</v>
      </c>
      <c r="F5" s="21"/>
    </row>
    <row r="6" spans="1:8" ht="20.100000000000001" customHeight="1" x14ac:dyDescent="0.25">
      <c r="A6" s="8" t="s">
        <v>18</v>
      </c>
      <c r="B6" s="18" t="str">
        <f>'[1]PLAYA (22-08)'!H6</f>
        <v>FRANCISCO JUSTO</v>
      </c>
      <c r="C6" s="19">
        <v>23</v>
      </c>
      <c r="D6" s="19"/>
      <c r="E6" s="20">
        <f t="shared" si="0"/>
        <v>23</v>
      </c>
      <c r="F6" s="33" t="s">
        <v>543</v>
      </c>
    </row>
    <row r="7" spans="1:8" ht="20.100000000000001" customHeight="1" x14ac:dyDescent="0.25">
      <c r="A7" s="8" t="s">
        <v>19</v>
      </c>
      <c r="B7" s="18" t="str">
        <f>'[1]PLAYA (22-08)'!H7</f>
        <v>ANDREA JUSTO</v>
      </c>
      <c r="C7" s="19">
        <v>23</v>
      </c>
      <c r="D7" s="19"/>
      <c r="E7" s="20">
        <f t="shared" si="0"/>
        <v>23</v>
      </c>
      <c r="F7" s="33" t="s">
        <v>543</v>
      </c>
    </row>
    <row r="8" spans="1:8" ht="20.100000000000001" customHeight="1" x14ac:dyDescent="0.25">
      <c r="A8" s="8" t="s">
        <v>20</v>
      </c>
      <c r="B8" s="18" t="str">
        <f>'[1]PLAYA (22-08)'!H8</f>
        <v>DILMAR VELASQUEZ</v>
      </c>
      <c r="C8" s="19">
        <v>23</v>
      </c>
      <c r="D8" s="19">
        <v>23</v>
      </c>
      <c r="E8" s="20">
        <f t="shared" si="0"/>
        <v>0</v>
      </c>
      <c r="F8" s="21"/>
    </row>
    <row r="9" spans="1:8" ht="20.100000000000001" customHeight="1" x14ac:dyDescent="0.25">
      <c r="A9" s="8" t="s">
        <v>26</v>
      </c>
      <c r="B9" s="18" t="str">
        <f>'[1]PLAYA (22-08)'!H9</f>
        <v>CATHY DE VELASQUEZ</v>
      </c>
      <c r="C9" s="19">
        <v>23</v>
      </c>
      <c r="D9" s="19">
        <v>23</v>
      </c>
      <c r="E9" s="20">
        <f t="shared" si="0"/>
        <v>0</v>
      </c>
      <c r="F9" s="21"/>
    </row>
    <row r="10" spans="1:8" ht="20.100000000000001" customHeight="1" x14ac:dyDescent="0.25">
      <c r="A10" s="8" t="s">
        <v>29</v>
      </c>
      <c r="B10" s="18" t="str">
        <f>'[1]PLAYA (22-08)'!H10</f>
        <v>JHOSMIR FERNANDEZ</v>
      </c>
      <c r="C10" s="19">
        <v>23</v>
      </c>
      <c r="D10" s="19">
        <v>23</v>
      </c>
      <c r="E10" s="20">
        <f t="shared" si="0"/>
        <v>0</v>
      </c>
      <c r="F10" s="21"/>
    </row>
    <row r="11" spans="1:8" ht="20.100000000000001" customHeight="1" x14ac:dyDescent="0.25">
      <c r="A11" s="8" t="s">
        <v>30</v>
      </c>
      <c r="B11" s="18" t="str">
        <f>'[1]PLAYA (22-08)'!H11</f>
        <v>JHOAN FERNANDEZ</v>
      </c>
      <c r="C11" s="19">
        <v>23</v>
      </c>
      <c r="D11" s="19">
        <v>23</v>
      </c>
      <c r="E11" s="20">
        <f t="shared" si="0"/>
        <v>0</v>
      </c>
      <c r="F11" s="21"/>
    </row>
    <row r="12" spans="1:8" ht="20.100000000000001" customHeight="1" x14ac:dyDescent="0.25">
      <c r="A12" s="8" t="s">
        <v>35</v>
      </c>
      <c r="B12" s="18" t="str">
        <f>'[1]PLAYA (22-08)'!H12</f>
        <v>RAFAEL VELASQUEZ</v>
      </c>
      <c r="C12" s="19">
        <v>23</v>
      </c>
      <c r="D12" s="19">
        <v>23</v>
      </c>
      <c r="E12" s="20">
        <f t="shared" si="0"/>
        <v>0</v>
      </c>
      <c r="F12" s="21"/>
    </row>
    <row r="13" spans="1:8" ht="20.100000000000001" customHeight="1" x14ac:dyDescent="0.25">
      <c r="A13" s="8" t="s">
        <v>36</v>
      </c>
      <c r="B13" s="18" t="str">
        <f>'[1]PLAYA (22-08)'!H13</f>
        <v>JHOSMAR FERNANDEZ</v>
      </c>
      <c r="C13" s="19">
        <v>23</v>
      </c>
      <c r="D13" s="19">
        <v>23</v>
      </c>
      <c r="E13" s="20">
        <f t="shared" si="0"/>
        <v>0</v>
      </c>
      <c r="F13" s="21"/>
    </row>
    <row r="14" spans="1:8" ht="20.100000000000001" customHeight="1" x14ac:dyDescent="0.25">
      <c r="A14" s="8" t="s">
        <v>37</v>
      </c>
      <c r="B14" s="18" t="str">
        <f>'[1]PLAYA (22-08)'!H14</f>
        <v>ALANIS CORRALES</v>
      </c>
      <c r="C14" s="19">
        <v>31</v>
      </c>
      <c r="D14" s="19">
        <v>31</v>
      </c>
      <c r="E14" s="20">
        <f t="shared" si="0"/>
        <v>0</v>
      </c>
      <c r="F14" s="21"/>
    </row>
    <row r="15" spans="1:8" ht="20.100000000000001" customHeight="1" x14ac:dyDescent="0.25">
      <c r="A15" s="8" t="s">
        <v>42</v>
      </c>
      <c r="B15" s="18" t="str">
        <f>'[1]PLAYA (22-08)'!H15</f>
        <v>ARIANA MORALES</v>
      </c>
      <c r="C15" s="19">
        <v>31</v>
      </c>
      <c r="D15" s="19">
        <v>31</v>
      </c>
      <c r="E15" s="20">
        <f t="shared" si="0"/>
        <v>0</v>
      </c>
      <c r="F15" s="21"/>
    </row>
    <row r="16" spans="1:8" ht="20.100000000000001" customHeight="1" x14ac:dyDescent="0.25">
      <c r="A16" s="8" t="s">
        <v>46</v>
      </c>
      <c r="B16" s="18" t="str">
        <f>'[1]PLAYA (22-08)'!H16</f>
        <v>NATALIA PEREZ</v>
      </c>
      <c r="C16" s="19">
        <v>31</v>
      </c>
      <c r="D16" s="19">
        <v>31</v>
      </c>
      <c r="E16" s="20">
        <f t="shared" si="0"/>
        <v>0</v>
      </c>
      <c r="F16" s="21"/>
    </row>
    <row r="17" spans="1:6" ht="20.100000000000001" customHeight="1" x14ac:dyDescent="0.25">
      <c r="A17" s="8" t="s">
        <v>47</v>
      </c>
      <c r="B17" s="18" t="str">
        <f>'[1]PLAYA (22-08)'!H17</f>
        <v>NATALIA PEREZ</v>
      </c>
      <c r="C17" s="19">
        <v>31</v>
      </c>
      <c r="D17" s="19">
        <v>31</v>
      </c>
      <c r="E17" s="20">
        <f t="shared" si="0"/>
        <v>0</v>
      </c>
      <c r="F17" s="21"/>
    </row>
    <row r="18" spans="1:6" ht="20.100000000000001" customHeight="1" x14ac:dyDescent="0.25">
      <c r="A18" s="8" t="s">
        <v>48</v>
      </c>
      <c r="B18" s="18" t="str">
        <f>'[1]PLAYA (22-08)'!H18</f>
        <v>ARON GARCIA</v>
      </c>
      <c r="C18" s="19">
        <v>31</v>
      </c>
      <c r="D18" s="19">
        <v>31</v>
      </c>
      <c r="E18" s="20">
        <f t="shared" si="0"/>
        <v>0</v>
      </c>
      <c r="F18" s="21"/>
    </row>
    <row r="19" spans="1:6" ht="20.100000000000001" customHeight="1" x14ac:dyDescent="0.25">
      <c r="A19" s="8" t="s">
        <v>49</v>
      </c>
      <c r="B19" s="18" t="str">
        <f>'[1]PLAYA (22-08)'!H19</f>
        <v>YHOAN LINARES</v>
      </c>
      <c r="C19" s="19">
        <v>31</v>
      </c>
      <c r="D19" s="19">
        <v>31</v>
      </c>
      <c r="E19" s="20">
        <f t="shared" si="0"/>
        <v>0</v>
      </c>
      <c r="F19" s="21"/>
    </row>
    <row r="20" spans="1:6" ht="20.100000000000001" customHeight="1" x14ac:dyDescent="0.25">
      <c r="A20" s="8" t="s">
        <v>50</v>
      </c>
      <c r="B20" s="18" t="str">
        <f>'[1]PLAYA (22-08)'!H20</f>
        <v>DOUGLAS FERNANDEZ</v>
      </c>
      <c r="C20" s="19">
        <v>23</v>
      </c>
      <c r="D20" s="19">
        <v>23</v>
      </c>
      <c r="E20" s="20">
        <f t="shared" si="0"/>
        <v>0</v>
      </c>
      <c r="F20" s="21"/>
    </row>
    <row r="21" spans="1:6" ht="20.100000000000001" customHeight="1" x14ac:dyDescent="0.25">
      <c r="A21" s="8" t="s">
        <v>54</v>
      </c>
      <c r="B21" s="18" t="str">
        <f>'[1]PLAYA (22-08)'!H21</f>
        <v>BARBARA CAÑIZALEZ</v>
      </c>
      <c r="C21" s="19">
        <v>23</v>
      </c>
      <c r="D21" s="19">
        <v>23</v>
      </c>
      <c r="E21" s="20">
        <f t="shared" si="0"/>
        <v>0</v>
      </c>
      <c r="F21" s="21"/>
    </row>
    <row r="22" spans="1:6" ht="20.100000000000001" customHeight="1" x14ac:dyDescent="0.25">
      <c r="A22" s="8" t="s">
        <v>57</v>
      </c>
      <c r="B22" s="18" t="str">
        <f>'[1]PLAYA (22-08)'!H22</f>
        <v>NATHALIA ALVARADO</v>
      </c>
      <c r="C22" s="19">
        <v>23</v>
      </c>
      <c r="D22" s="19">
        <v>23</v>
      </c>
      <c r="E22" s="20">
        <f t="shared" si="0"/>
        <v>0</v>
      </c>
      <c r="F22" s="21"/>
    </row>
    <row r="23" spans="1:6" ht="20.100000000000001" customHeight="1" x14ac:dyDescent="0.25">
      <c r="A23" s="8" t="s">
        <v>61</v>
      </c>
      <c r="B23" s="18" t="str">
        <f>'[1]PLAYA (22-08)'!H23</f>
        <v>XAVIER TORRES</v>
      </c>
      <c r="C23" s="19">
        <v>23</v>
      </c>
      <c r="D23" s="19">
        <v>23</v>
      </c>
      <c r="E23" s="20">
        <f t="shared" si="0"/>
        <v>0</v>
      </c>
      <c r="F23" s="21"/>
    </row>
    <row r="24" spans="1:6" ht="20.100000000000001" customHeight="1" x14ac:dyDescent="0.25">
      <c r="A24" s="8" t="s">
        <v>63</v>
      </c>
      <c r="B24" s="18" t="str">
        <f>'[1]PLAYA (22-08)'!H24</f>
        <v>DANMARYS TORRES</v>
      </c>
      <c r="C24" s="19">
        <v>31</v>
      </c>
      <c r="D24" s="19">
        <v>31</v>
      </c>
      <c r="E24" s="20">
        <f t="shared" si="0"/>
        <v>0</v>
      </c>
      <c r="F24" s="21"/>
    </row>
    <row r="25" spans="1:6" ht="20.100000000000001" customHeight="1" x14ac:dyDescent="0.25">
      <c r="A25" s="8" t="s">
        <v>64</v>
      </c>
      <c r="B25" s="18" t="str">
        <f>'[1]PLAYA (22-08)'!H25</f>
        <v>SULBARAN DOMINGUEZ</v>
      </c>
      <c r="C25" s="19">
        <v>31</v>
      </c>
      <c r="D25" s="19">
        <v>31</v>
      </c>
      <c r="E25" s="20">
        <f t="shared" si="0"/>
        <v>0</v>
      </c>
      <c r="F25" s="21"/>
    </row>
    <row r="26" spans="1:6" ht="20.100000000000001" customHeight="1" x14ac:dyDescent="0.25">
      <c r="A26" s="8" t="s">
        <v>65</v>
      </c>
      <c r="B26" s="18" t="str">
        <f>'[1]PLAYA (22-08)'!H26</f>
        <v>FRANKLIN CARUCI</v>
      </c>
      <c r="C26" s="19">
        <v>23</v>
      </c>
      <c r="D26" s="19">
        <v>23</v>
      </c>
      <c r="E26" s="20">
        <f t="shared" si="0"/>
        <v>0</v>
      </c>
      <c r="F26" s="21"/>
    </row>
    <row r="27" spans="1:6" ht="20.100000000000001" customHeight="1" x14ac:dyDescent="0.25">
      <c r="A27" s="8" t="s">
        <v>67</v>
      </c>
      <c r="B27" s="18" t="str">
        <f>'[1]PLAYA (22-08)'!H27</f>
        <v>MARLING QUERALES</v>
      </c>
      <c r="C27" s="19">
        <v>23</v>
      </c>
      <c r="D27" s="19">
        <v>23</v>
      </c>
      <c r="E27" s="20">
        <f t="shared" si="0"/>
        <v>0</v>
      </c>
      <c r="F27" s="21"/>
    </row>
    <row r="28" spans="1:6" ht="20.100000000000001" customHeight="1" x14ac:dyDescent="0.25">
      <c r="A28" s="8" t="s">
        <v>68</v>
      </c>
      <c r="B28" s="18" t="str">
        <f>'[1]PLAYA (22-08)'!H28</f>
        <v>CATHERINE CARUCI</v>
      </c>
      <c r="C28" s="19">
        <v>23</v>
      </c>
      <c r="D28" s="19">
        <v>23</v>
      </c>
      <c r="E28" s="20">
        <f t="shared" si="0"/>
        <v>0</v>
      </c>
      <c r="F28" s="21"/>
    </row>
    <row r="29" spans="1:6" ht="20.100000000000001" customHeight="1" x14ac:dyDescent="0.25">
      <c r="A29" s="8" t="s">
        <v>69</v>
      </c>
      <c r="B29" s="18" t="str">
        <f>'[1]PLAYA (22-08)'!H29</f>
        <v>FRANCO CARUCI</v>
      </c>
      <c r="C29" s="19">
        <v>23</v>
      </c>
      <c r="D29" s="19">
        <v>23</v>
      </c>
      <c r="E29" s="20">
        <f t="shared" si="0"/>
        <v>0</v>
      </c>
      <c r="F29" s="21"/>
    </row>
    <row r="30" spans="1:6" ht="20.100000000000001" customHeight="1" x14ac:dyDescent="0.25">
      <c r="A30" s="8" t="s">
        <v>70</v>
      </c>
      <c r="B30" s="18" t="str">
        <f>'[1]PLAYA (22-08)'!H30</f>
        <v>JHOEL RODRIGUEZ</v>
      </c>
      <c r="C30" s="19">
        <v>23</v>
      </c>
      <c r="D30" s="19">
        <v>23</v>
      </c>
      <c r="E30" s="20">
        <f t="shared" si="0"/>
        <v>0</v>
      </c>
      <c r="F30" s="21"/>
    </row>
    <row r="31" spans="1:6" ht="20.100000000000001" customHeight="1" x14ac:dyDescent="0.25">
      <c r="A31" s="8" t="s">
        <v>71</v>
      </c>
      <c r="B31" s="18" t="str">
        <f>'[1]PLAYA (22-08)'!H31</f>
        <v>ALEJANDRA RODRIGUEZ</v>
      </c>
      <c r="C31" s="19">
        <v>23</v>
      </c>
      <c r="D31" s="19">
        <v>23</v>
      </c>
      <c r="E31" s="20">
        <f t="shared" si="0"/>
        <v>0</v>
      </c>
      <c r="F31" s="21"/>
    </row>
    <row r="32" spans="1:6" ht="20.100000000000001" customHeight="1" x14ac:dyDescent="0.25">
      <c r="A32" s="8" t="s">
        <v>72</v>
      </c>
      <c r="B32" s="18" t="str">
        <f>'[1]PLAYA (22-08)'!H32</f>
        <v>NATALIA PEREZ</v>
      </c>
      <c r="C32" s="19">
        <v>31</v>
      </c>
      <c r="D32" s="19">
        <v>31</v>
      </c>
      <c r="E32" s="20">
        <f t="shared" si="0"/>
        <v>0</v>
      </c>
      <c r="F32" s="21"/>
    </row>
    <row r="33" spans="1:17" ht="20.100000000000001" customHeight="1" x14ac:dyDescent="0.25">
      <c r="A33" s="8" t="s">
        <v>73</v>
      </c>
      <c r="B33" s="18" t="str">
        <f>'[1]PLAYA (22-08)'!H33</f>
        <v>DIANYELA IBARRA</v>
      </c>
      <c r="C33" s="19">
        <v>23</v>
      </c>
      <c r="D33" s="19">
        <v>23</v>
      </c>
      <c r="E33" s="20">
        <f t="shared" si="0"/>
        <v>0</v>
      </c>
      <c r="F33" s="21"/>
    </row>
    <row r="34" spans="1:17" ht="20.100000000000001" customHeight="1" x14ac:dyDescent="0.25">
      <c r="A34" s="8" t="s">
        <v>74</v>
      </c>
      <c r="B34" s="18" t="str">
        <f>'[1]PLAYA (22-08)'!H34</f>
        <v>LUIS PIÑA</v>
      </c>
      <c r="C34" s="19">
        <v>23</v>
      </c>
      <c r="D34" s="19">
        <v>23</v>
      </c>
      <c r="E34" s="20">
        <f t="shared" si="0"/>
        <v>0</v>
      </c>
      <c r="F34" s="21"/>
    </row>
    <row r="35" spans="1:17" ht="20.100000000000001" customHeight="1" x14ac:dyDescent="0.25"/>
    <row r="36" spans="1:17" ht="20.100000000000001" customHeight="1" x14ac:dyDescent="0.25">
      <c r="B36" s="15" t="s">
        <v>79</v>
      </c>
      <c r="C36" s="22">
        <f>SUM(C4:C34)</f>
        <v>785</v>
      </c>
      <c r="D36" s="22">
        <f>SUM(D4:D34)</f>
        <v>739</v>
      </c>
      <c r="E36" s="22">
        <f>SUM(E4:E34)</f>
        <v>46</v>
      </c>
      <c r="F36" s="22">
        <f>SUM(F4:F34)</f>
        <v>0</v>
      </c>
    </row>
    <row r="48" spans="1:17" ht="29.25" customHeight="1" x14ac:dyDescent="0.45">
      <c r="A48" s="23" t="s">
        <v>80</v>
      </c>
      <c r="B48" s="23"/>
      <c r="C48" s="23"/>
      <c r="D48" s="23"/>
      <c r="E48" s="23"/>
      <c r="F48" s="23"/>
      <c r="G48" s="23"/>
      <c r="K48" s="23" t="s">
        <v>318</v>
      </c>
      <c r="L48" s="23"/>
      <c r="M48" s="23"/>
      <c r="N48" s="23"/>
      <c r="O48" s="23"/>
      <c r="P48" s="23"/>
      <c r="Q48" s="23"/>
    </row>
    <row r="49" spans="1:17" ht="30" customHeight="1" x14ac:dyDescent="0.25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39" t="s">
        <v>85</v>
      </c>
      <c r="K49" s="24" t="s">
        <v>319</v>
      </c>
      <c r="L49" s="24" t="s">
        <v>320</v>
      </c>
      <c r="M49" s="24" t="s">
        <v>321</v>
      </c>
      <c r="N49" s="24" t="s">
        <v>83</v>
      </c>
      <c r="O49" s="24" t="s">
        <v>84</v>
      </c>
      <c r="P49" s="24" t="s">
        <v>85</v>
      </c>
      <c r="Q49" s="24" t="s">
        <v>9</v>
      </c>
    </row>
    <row r="50" spans="1:17" ht="20.100000000000001" customHeight="1" x14ac:dyDescent="0.25">
      <c r="A50" s="25" t="s">
        <v>20</v>
      </c>
      <c r="B50" s="26" t="s">
        <v>577</v>
      </c>
      <c r="C50" s="27">
        <v>67142.350000000006</v>
      </c>
      <c r="D50" s="26">
        <v>671.42</v>
      </c>
      <c r="E50" s="26">
        <v>100</v>
      </c>
      <c r="F50" s="26" t="s">
        <v>651</v>
      </c>
      <c r="G50" s="28">
        <v>46186</v>
      </c>
      <c r="H50" s="29"/>
      <c r="I50" s="30"/>
      <c r="J50" s="30"/>
      <c r="K50" s="48" t="s">
        <v>652</v>
      </c>
      <c r="L50" s="27">
        <v>25514.11</v>
      </c>
      <c r="M50" s="48">
        <v>911.22</v>
      </c>
      <c r="N50" s="48">
        <v>28</v>
      </c>
      <c r="O50" s="48" t="s">
        <v>653</v>
      </c>
      <c r="P50" s="28">
        <v>46256</v>
      </c>
      <c r="Q50" s="48" t="s">
        <v>326</v>
      </c>
    </row>
    <row r="51" spans="1:17" ht="20.100000000000001" customHeight="1" x14ac:dyDescent="0.25">
      <c r="A51" s="25" t="s">
        <v>26</v>
      </c>
      <c r="B51" s="26" t="s">
        <v>577</v>
      </c>
      <c r="C51" s="27">
        <v>63217.8</v>
      </c>
      <c r="D51" s="26">
        <v>697.36</v>
      </c>
      <c r="E51" s="26">
        <v>90</v>
      </c>
      <c r="F51" s="26" t="s">
        <v>654</v>
      </c>
      <c r="G51" s="28">
        <v>46193</v>
      </c>
      <c r="H51" s="29"/>
      <c r="I51" s="30"/>
      <c r="J51" s="30"/>
      <c r="K51" s="48" t="s">
        <v>655</v>
      </c>
      <c r="L51" s="27">
        <v>12758</v>
      </c>
      <c r="M51" s="48">
        <v>911.22</v>
      </c>
      <c r="N51" s="48">
        <v>14</v>
      </c>
      <c r="O51" s="48" t="s">
        <v>656</v>
      </c>
      <c r="P51" s="28">
        <v>46256</v>
      </c>
      <c r="Q51" s="48" t="s">
        <v>326</v>
      </c>
    </row>
    <row r="52" spans="1:17" ht="20.100000000000001" customHeight="1" x14ac:dyDescent="0.25">
      <c r="A52" s="25" t="s">
        <v>29</v>
      </c>
      <c r="B52" s="26" t="s">
        <v>577</v>
      </c>
      <c r="C52" s="27">
        <v>28276.400000000001</v>
      </c>
      <c r="D52" s="26">
        <v>706.92</v>
      </c>
      <c r="E52" s="26">
        <v>40</v>
      </c>
      <c r="F52" s="26" t="s">
        <v>657</v>
      </c>
      <c r="G52" s="28">
        <v>46196</v>
      </c>
      <c r="H52" s="32"/>
      <c r="I52" s="32"/>
      <c r="J52" s="32"/>
      <c r="K52" s="48" t="s">
        <v>658</v>
      </c>
      <c r="L52" s="27">
        <v>25515</v>
      </c>
      <c r="M52" s="48">
        <v>911.22</v>
      </c>
      <c r="N52" s="48">
        <v>28</v>
      </c>
      <c r="O52" s="48" t="s">
        <v>659</v>
      </c>
      <c r="P52" s="28">
        <v>46256</v>
      </c>
      <c r="Q52" s="48" t="s">
        <v>326</v>
      </c>
    </row>
    <row r="53" spans="1:17" ht="20.100000000000001" customHeight="1" x14ac:dyDescent="0.25">
      <c r="A53" s="25" t="s">
        <v>30</v>
      </c>
      <c r="B53" s="26" t="s">
        <v>577</v>
      </c>
      <c r="C53" s="27"/>
      <c r="D53" s="26"/>
      <c r="E53" s="26"/>
      <c r="F53" s="26"/>
      <c r="G53" s="28"/>
      <c r="H53" s="32"/>
      <c r="I53" s="32"/>
      <c r="J53" s="32"/>
      <c r="K53" s="48" t="s">
        <v>660</v>
      </c>
      <c r="L53" s="27">
        <v>12757.05</v>
      </c>
      <c r="M53" s="48">
        <v>911.22</v>
      </c>
      <c r="N53" s="48">
        <v>14</v>
      </c>
      <c r="O53" s="48" t="s">
        <v>661</v>
      </c>
      <c r="P53" s="28">
        <v>46256</v>
      </c>
      <c r="Q53" s="48" t="s">
        <v>662</v>
      </c>
    </row>
    <row r="54" spans="1:17" ht="20.100000000000001" customHeight="1" x14ac:dyDescent="0.25">
      <c r="A54" s="25" t="s">
        <v>35</v>
      </c>
      <c r="B54" s="26" t="s">
        <v>577</v>
      </c>
      <c r="C54" s="27"/>
      <c r="D54" s="26"/>
      <c r="E54" s="26"/>
      <c r="F54" s="26"/>
      <c r="G54" s="28"/>
      <c r="H54" s="30"/>
      <c r="I54" s="30"/>
      <c r="J54" s="30"/>
    </row>
    <row r="55" spans="1:17" ht="20.100000000000001" customHeight="1" x14ac:dyDescent="0.25">
      <c r="A55" s="25" t="s">
        <v>36</v>
      </c>
      <c r="B55" s="26" t="s">
        <v>577</v>
      </c>
      <c r="C55" s="27"/>
      <c r="D55" s="26"/>
      <c r="E55" s="26"/>
      <c r="F55" s="26"/>
      <c r="G55" s="28"/>
      <c r="H55" s="30"/>
      <c r="I55" s="30"/>
      <c r="J55" s="30"/>
    </row>
    <row r="56" spans="1:17" ht="20.100000000000001" customHeight="1" x14ac:dyDescent="0.25">
      <c r="A56" s="25" t="s">
        <v>50</v>
      </c>
      <c r="B56" s="26" t="s">
        <v>577</v>
      </c>
      <c r="C56" s="27"/>
      <c r="D56" s="26"/>
      <c r="E56" s="26"/>
      <c r="F56" s="26"/>
      <c r="G56" s="28"/>
      <c r="H56" s="32"/>
      <c r="I56" s="32"/>
      <c r="J56" s="32"/>
    </row>
    <row r="57" spans="1:17" ht="20.100000000000001" customHeight="1" x14ac:dyDescent="0.25">
      <c r="A57" s="25" t="s">
        <v>54</v>
      </c>
      <c r="B57" s="26" t="s">
        <v>577</v>
      </c>
      <c r="C57" s="27"/>
      <c r="D57" s="26"/>
      <c r="E57" s="26"/>
      <c r="F57" s="26"/>
      <c r="G57" s="28"/>
      <c r="H57" s="32"/>
      <c r="I57" s="32"/>
      <c r="J57" s="32"/>
    </row>
    <row r="58" spans="1:17" ht="20.100000000000001" customHeight="1" x14ac:dyDescent="0.25">
      <c r="A58" s="25" t="s">
        <v>57</v>
      </c>
      <c r="B58" s="26" t="s">
        <v>577</v>
      </c>
      <c r="C58" s="27"/>
      <c r="D58" s="26"/>
      <c r="E58" s="26"/>
      <c r="F58" s="26"/>
      <c r="G58" s="28"/>
      <c r="H58" s="32"/>
      <c r="I58" s="32"/>
      <c r="J58" s="32"/>
    </row>
    <row r="59" spans="1:17" ht="20.100000000000001" customHeight="1" x14ac:dyDescent="0.25">
      <c r="A59" s="25" t="s">
        <v>61</v>
      </c>
      <c r="B59" s="26" t="s">
        <v>577</v>
      </c>
      <c r="C59" s="27"/>
      <c r="D59" s="26"/>
      <c r="E59" s="26"/>
      <c r="F59" s="26"/>
      <c r="G59" s="28"/>
      <c r="H59" s="30"/>
      <c r="I59" s="30"/>
      <c r="J59" s="30"/>
    </row>
    <row r="60" spans="1:17" ht="20.100000000000001" customHeight="1" x14ac:dyDescent="0.25">
      <c r="H60" s="30"/>
      <c r="I60" s="30"/>
      <c r="J60" s="30"/>
    </row>
    <row r="61" spans="1:17" ht="20.100000000000001" customHeight="1" x14ac:dyDescent="0.25">
      <c r="H61" s="30"/>
      <c r="I61" s="30"/>
      <c r="J61" s="30"/>
    </row>
    <row r="62" spans="1:17" ht="20.100000000000001" customHeight="1" x14ac:dyDescent="0.25">
      <c r="H62" s="32"/>
      <c r="I62" s="32"/>
      <c r="J62" s="32"/>
    </row>
    <row r="63" spans="1:17" ht="20.100000000000001" customHeight="1" x14ac:dyDescent="0.25">
      <c r="A63" s="25" t="s">
        <v>65</v>
      </c>
      <c r="B63" s="26" t="s">
        <v>629</v>
      </c>
      <c r="C63" s="27">
        <v>47383.34</v>
      </c>
      <c r="D63" s="26">
        <v>911.22</v>
      </c>
      <c r="E63" s="26">
        <v>52</v>
      </c>
      <c r="F63" s="26" t="s">
        <v>663</v>
      </c>
      <c r="G63" s="28">
        <v>46255</v>
      </c>
      <c r="H63" s="32"/>
      <c r="I63" s="32"/>
      <c r="J63" s="32"/>
    </row>
    <row r="64" spans="1:17" ht="20.100000000000001" customHeight="1" x14ac:dyDescent="0.25">
      <c r="A64" s="25" t="s">
        <v>67</v>
      </c>
      <c r="B64" s="26" t="s">
        <v>629</v>
      </c>
      <c r="C64" s="27">
        <v>35779.61</v>
      </c>
      <c r="D64" s="26">
        <v>894.49</v>
      </c>
      <c r="E64" s="26">
        <v>40</v>
      </c>
      <c r="F64" s="26" t="s">
        <v>664</v>
      </c>
      <c r="G64" s="28">
        <v>46251</v>
      </c>
      <c r="H64" s="32"/>
      <c r="I64" s="30"/>
      <c r="J64" s="30"/>
    </row>
    <row r="65" spans="1:10" ht="20.100000000000001" customHeight="1" x14ac:dyDescent="0.25">
      <c r="A65" s="25" t="s">
        <v>68</v>
      </c>
      <c r="B65" s="26" t="s">
        <v>629</v>
      </c>
      <c r="C65" s="27"/>
      <c r="D65" s="26"/>
      <c r="E65" s="26"/>
      <c r="F65" s="26"/>
      <c r="G65" s="28"/>
      <c r="H65" s="32"/>
      <c r="I65" s="30"/>
      <c r="J65" s="30"/>
    </row>
    <row r="66" spans="1:10" ht="20.100000000000001" customHeight="1" x14ac:dyDescent="0.25">
      <c r="A66" s="25" t="s">
        <v>69</v>
      </c>
      <c r="B66" s="26" t="s">
        <v>629</v>
      </c>
      <c r="C66" s="27"/>
      <c r="D66" s="26"/>
      <c r="E66" s="26"/>
      <c r="F66" s="26"/>
      <c r="G66" s="28"/>
      <c r="H66" s="32"/>
      <c r="I66" s="30"/>
      <c r="J66" s="30"/>
    </row>
    <row r="67" spans="1:10" ht="20.100000000000001" customHeight="1" x14ac:dyDescent="0.25">
      <c r="H67" s="32"/>
      <c r="I67" s="30"/>
      <c r="J67" s="30"/>
    </row>
    <row r="68" spans="1:10" ht="20.100000000000001" customHeight="1" x14ac:dyDescent="0.25">
      <c r="H68" s="32"/>
    </row>
    <row r="69" spans="1:10" ht="20.100000000000001" customHeight="1" x14ac:dyDescent="0.25">
      <c r="H69" s="32"/>
    </row>
    <row r="70" spans="1:10" ht="20.100000000000001" customHeight="1" x14ac:dyDescent="0.25">
      <c r="A70" s="25" t="s">
        <v>10</v>
      </c>
      <c r="B70" s="26" t="s">
        <v>665</v>
      </c>
      <c r="C70" s="27">
        <v>42200.02</v>
      </c>
      <c r="D70" s="26">
        <v>906.83</v>
      </c>
      <c r="E70" s="26">
        <v>46</v>
      </c>
      <c r="F70" s="26" t="s">
        <v>666</v>
      </c>
      <c r="G70" s="28">
        <v>46256</v>
      </c>
      <c r="H70" s="32"/>
    </row>
    <row r="71" spans="1:10" ht="20.100000000000001" customHeight="1" x14ac:dyDescent="0.25">
      <c r="A71" s="25" t="s">
        <v>16</v>
      </c>
      <c r="B71" s="26" t="s">
        <v>665</v>
      </c>
      <c r="C71" s="27"/>
      <c r="D71" s="26"/>
      <c r="E71" s="26"/>
      <c r="F71" s="26"/>
      <c r="G71" s="28"/>
      <c r="H71" s="32"/>
    </row>
    <row r="72" spans="1:10" ht="20.100000000000001" customHeight="1" x14ac:dyDescent="0.25">
      <c r="A72" s="25" t="s">
        <v>18</v>
      </c>
      <c r="B72" s="26" t="s">
        <v>665</v>
      </c>
      <c r="C72" s="27"/>
      <c r="D72" s="26"/>
      <c r="E72" s="26"/>
      <c r="F72" s="26"/>
      <c r="G72" s="28"/>
      <c r="H72" s="32"/>
    </row>
    <row r="73" spans="1:10" ht="20.100000000000001" customHeight="1" x14ac:dyDescent="0.25">
      <c r="A73" s="25" t="s">
        <v>19</v>
      </c>
      <c r="B73" s="26" t="s">
        <v>665</v>
      </c>
      <c r="C73" s="27"/>
      <c r="D73" s="26"/>
      <c r="E73" s="26"/>
      <c r="F73" s="26"/>
      <c r="G73" s="28"/>
      <c r="H73" s="32"/>
    </row>
    <row r="74" spans="1:10" ht="20.100000000000001" customHeight="1" x14ac:dyDescent="0.25"/>
    <row r="75" spans="1:10" ht="20.100000000000001" customHeight="1" x14ac:dyDescent="0.25"/>
    <row r="76" spans="1:10" ht="20.100000000000001" customHeight="1" x14ac:dyDescent="0.25"/>
    <row r="77" spans="1:10" ht="20.100000000000001" customHeight="1" x14ac:dyDescent="0.25">
      <c r="A77" s="25" t="s">
        <v>46</v>
      </c>
      <c r="B77" s="26" t="s">
        <v>667</v>
      </c>
      <c r="C77" s="27">
        <v>51176</v>
      </c>
      <c r="D77" s="26">
        <v>897.82</v>
      </c>
      <c r="E77" s="26">
        <v>57</v>
      </c>
      <c r="F77" s="26" t="s">
        <v>656</v>
      </c>
      <c r="G77" s="28">
        <v>46253</v>
      </c>
    </row>
    <row r="78" spans="1:10" ht="20.100000000000001" customHeight="1" x14ac:dyDescent="0.25">
      <c r="A78" s="25" t="s">
        <v>47</v>
      </c>
      <c r="B78" s="26" t="s">
        <v>667</v>
      </c>
      <c r="C78" s="27">
        <v>32258</v>
      </c>
      <c r="D78" s="26">
        <v>896.03</v>
      </c>
      <c r="E78" s="26">
        <v>36</v>
      </c>
      <c r="F78" s="26" t="s">
        <v>656</v>
      </c>
      <c r="G78" s="28">
        <v>46252</v>
      </c>
    </row>
    <row r="79" spans="1:10" ht="20.100000000000001" customHeight="1" x14ac:dyDescent="0.25">
      <c r="A79" s="25" t="s">
        <v>72</v>
      </c>
      <c r="B79" s="26" t="s">
        <v>667</v>
      </c>
      <c r="C79" s="27"/>
      <c r="D79" s="26"/>
      <c r="E79" s="26"/>
      <c r="F79" s="26"/>
      <c r="G79" s="28"/>
    </row>
    <row r="80" spans="1:10" ht="20.100000000000001" customHeight="1" x14ac:dyDescent="0.25"/>
    <row r="81" spans="1:7" ht="20.100000000000001" customHeight="1" x14ac:dyDescent="0.25"/>
    <row r="82" spans="1:7" ht="20.100000000000001" customHeight="1" x14ac:dyDescent="0.25"/>
    <row r="83" spans="1:7" ht="20.100000000000001" customHeight="1" x14ac:dyDescent="0.25">
      <c r="A83" s="25" t="s">
        <v>37</v>
      </c>
      <c r="B83" s="26" t="s">
        <v>592</v>
      </c>
      <c r="C83" s="27">
        <v>19135.580000000002</v>
      </c>
      <c r="D83" s="26">
        <v>911.22</v>
      </c>
      <c r="E83" s="26">
        <v>21</v>
      </c>
      <c r="F83" s="26" t="s">
        <v>668</v>
      </c>
      <c r="G83" s="28">
        <v>46255</v>
      </c>
    </row>
    <row r="84" spans="1:7" ht="20.100000000000001" customHeight="1" x14ac:dyDescent="0.25">
      <c r="A84" s="25" t="s">
        <v>42</v>
      </c>
      <c r="B84" s="26" t="s">
        <v>592</v>
      </c>
      <c r="C84" s="27">
        <v>19135.580000000002</v>
      </c>
      <c r="D84" s="26">
        <v>911.22</v>
      </c>
      <c r="E84" s="26">
        <v>21</v>
      </c>
      <c r="F84" s="26" t="s">
        <v>669</v>
      </c>
      <c r="G84" s="28">
        <v>46255</v>
      </c>
    </row>
    <row r="85" spans="1:7" ht="20.100000000000001" customHeight="1" x14ac:dyDescent="0.25">
      <c r="C85" s="27">
        <v>17789.080000000002</v>
      </c>
      <c r="D85" s="26">
        <v>889.45</v>
      </c>
      <c r="E85" s="26">
        <v>20</v>
      </c>
      <c r="F85" s="26" t="s">
        <v>670</v>
      </c>
      <c r="G85" s="28">
        <v>46248</v>
      </c>
    </row>
    <row r="86" spans="1:7" ht="20.100000000000001" customHeight="1" x14ac:dyDescent="0.25"/>
    <row r="87" spans="1:7" ht="20.100000000000001" customHeight="1" x14ac:dyDescent="0.25"/>
    <row r="88" spans="1:7" ht="20.100000000000001" customHeight="1" x14ac:dyDescent="0.25"/>
    <row r="89" spans="1:7" ht="20.100000000000001" customHeight="1" x14ac:dyDescent="0.25">
      <c r="A89" s="25" t="s">
        <v>63</v>
      </c>
      <c r="B89" s="26" t="s">
        <v>671</v>
      </c>
      <c r="C89" s="27">
        <v>53641.11</v>
      </c>
      <c r="D89" s="26">
        <v>865.18</v>
      </c>
      <c r="E89" s="26">
        <v>62</v>
      </c>
      <c r="F89" s="26" t="s">
        <v>653</v>
      </c>
      <c r="G89" s="28">
        <v>46238</v>
      </c>
    </row>
    <row r="90" spans="1:7" ht="20.100000000000001" customHeight="1" x14ac:dyDescent="0.25">
      <c r="A90" s="25" t="s">
        <v>64</v>
      </c>
      <c r="B90" s="26" t="s">
        <v>671</v>
      </c>
      <c r="C90" s="27"/>
      <c r="D90" s="26"/>
      <c r="E90" s="26"/>
      <c r="F90" s="26"/>
      <c r="G90" s="28"/>
    </row>
    <row r="91" spans="1:7" ht="20.100000000000001" customHeight="1" x14ac:dyDescent="0.25"/>
    <row r="92" spans="1:7" ht="20.100000000000001" customHeight="1" x14ac:dyDescent="0.25"/>
    <row r="93" spans="1:7" ht="20.100000000000001" customHeight="1" x14ac:dyDescent="0.25"/>
    <row r="94" spans="1:7" ht="20.100000000000001" customHeight="1" x14ac:dyDescent="0.25">
      <c r="A94" s="25" t="s">
        <v>48</v>
      </c>
      <c r="B94" s="26" t="s">
        <v>672</v>
      </c>
      <c r="C94" s="27">
        <v>35913</v>
      </c>
      <c r="D94" s="26">
        <v>897.83</v>
      </c>
      <c r="E94" s="26">
        <v>40</v>
      </c>
      <c r="F94" s="26" t="s">
        <v>673</v>
      </c>
      <c r="G94" s="28">
        <v>46253</v>
      </c>
    </row>
    <row r="95" spans="1:7" ht="20.100000000000001" customHeight="1" x14ac:dyDescent="0.25">
      <c r="A95" s="25" t="s">
        <v>49</v>
      </c>
      <c r="B95" s="26" t="s">
        <v>672</v>
      </c>
      <c r="C95" s="27">
        <v>20047</v>
      </c>
      <c r="D95" s="26">
        <v>906.83</v>
      </c>
      <c r="E95" s="26">
        <v>22</v>
      </c>
      <c r="F95" s="26" t="s">
        <v>674</v>
      </c>
      <c r="G95" s="28">
        <v>46255</v>
      </c>
    </row>
    <row r="96" spans="1:7" ht="20.100000000000001" customHeight="1" x14ac:dyDescent="0.25"/>
    <row r="97" spans="1:7" ht="20.100000000000001" customHeight="1" x14ac:dyDescent="0.25"/>
    <row r="98" spans="1:7" ht="20.100000000000001" customHeight="1" x14ac:dyDescent="0.25"/>
    <row r="99" spans="1:7" ht="20.100000000000001" customHeight="1" x14ac:dyDescent="0.25">
      <c r="A99" s="25" t="s">
        <v>70</v>
      </c>
      <c r="B99" s="26" t="s">
        <v>638</v>
      </c>
      <c r="C99" s="27">
        <v>23577.65</v>
      </c>
      <c r="D99" s="26">
        <v>906.83</v>
      </c>
      <c r="E99" s="26">
        <v>26</v>
      </c>
      <c r="F99" s="26" t="s">
        <v>675</v>
      </c>
      <c r="G99" s="28">
        <v>46254</v>
      </c>
    </row>
    <row r="100" spans="1:7" ht="20.100000000000001" customHeight="1" x14ac:dyDescent="0.25">
      <c r="A100" s="25" t="s">
        <v>71</v>
      </c>
      <c r="B100" s="26" t="s">
        <v>638</v>
      </c>
      <c r="C100" s="27">
        <v>18136.650000000001</v>
      </c>
      <c r="D100" s="26">
        <v>906.83</v>
      </c>
      <c r="E100" s="26">
        <v>20</v>
      </c>
      <c r="F100" s="26" t="s">
        <v>676</v>
      </c>
      <c r="G100" s="28">
        <v>46254</v>
      </c>
    </row>
    <row r="101" spans="1:7" ht="20.100000000000001" customHeight="1" x14ac:dyDescent="0.25">
      <c r="A101" s="25" t="s">
        <v>73</v>
      </c>
      <c r="B101" s="26" t="s">
        <v>638</v>
      </c>
      <c r="C101" s="27">
        <v>17956.400000000001</v>
      </c>
      <c r="D101" s="26">
        <v>897.82</v>
      </c>
      <c r="E101" s="26">
        <f>C101/D101</f>
        <v>20</v>
      </c>
      <c r="F101" s="26" t="s">
        <v>677</v>
      </c>
      <c r="G101" s="28">
        <v>46253</v>
      </c>
    </row>
    <row r="102" spans="1:7" ht="20.100000000000001" customHeight="1" x14ac:dyDescent="0.25">
      <c r="A102" s="25" t="s">
        <v>74</v>
      </c>
      <c r="B102" s="26" t="s">
        <v>638</v>
      </c>
      <c r="C102" s="27">
        <v>23691.67</v>
      </c>
      <c r="D102" s="26">
        <v>906.83</v>
      </c>
      <c r="E102" s="26">
        <v>26</v>
      </c>
      <c r="F102" s="26" t="s">
        <v>676</v>
      </c>
      <c r="G102" s="28">
        <v>46255</v>
      </c>
    </row>
    <row r="103" spans="1:7" ht="20.100000000000001" customHeight="1" x14ac:dyDescent="0.25"/>
    <row r="104" spans="1:7" ht="20.100000000000001" customHeight="1" x14ac:dyDescent="0.25"/>
    <row r="105" spans="1:7" ht="20.100000000000001" customHeight="1" x14ac:dyDescent="0.25"/>
    <row r="106" spans="1:7" ht="20.100000000000001" customHeight="1" x14ac:dyDescent="0.25"/>
    <row r="107" spans="1:7" ht="20.100000000000001" customHeight="1" x14ac:dyDescent="0.25"/>
    <row r="108" spans="1:7" ht="20.100000000000001" customHeight="1" x14ac:dyDescent="0.25"/>
    <row r="109" spans="1:7" ht="20.100000000000001" customHeight="1" x14ac:dyDescent="0.25"/>
    <row r="110" spans="1:7" ht="20.100000000000001" customHeight="1" x14ac:dyDescent="0.25"/>
    <row r="111" spans="1:7" ht="20.100000000000001" customHeight="1" x14ac:dyDescent="0.25"/>
    <row r="112" spans="1:7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</sheetData>
  <mergeCells count="3">
    <mergeCell ref="A1:F1"/>
    <mergeCell ref="A48:G48"/>
    <mergeCell ref="K48:Q48"/>
  </mergeCells>
  <pageMargins left="0.7" right="0.7" top="0.75" bottom="0.75" header="0.3" footer="0.3"/>
  <pageSetup scale="78" fitToHeight="0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pageSetUpPr fitToPage="1"/>
  </sheetPr>
  <dimension ref="A1:M34"/>
  <sheetViews>
    <sheetView zoomScale="62" zoomScaleNormal="62" workbookViewId="0">
      <selection activeCell="G3" sqref="G3"/>
    </sheetView>
  </sheetViews>
  <sheetFormatPr baseColWidth="10" defaultRowHeight="15" x14ac:dyDescent="0.25"/>
  <cols>
    <col min="1" max="1" width="57.42578125" customWidth="1"/>
    <col min="8" max="8" width="32" customWidth="1"/>
    <col min="9" max="9" width="15.85546875" customWidth="1"/>
    <col min="10" max="10" width="18" customWidth="1"/>
    <col min="11" max="11" width="50.140625" customWidth="1"/>
    <col min="12" max="12" width="38.42578125" customWidth="1"/>
    <col min="13" max="13" width="23.140625" customWidth="1"/>
  </cols>
  <sheetData>
    <row r="1" spans="1:13" ht="73.5" customHeight="1" x14ac:dyDescent="0.25">
      <c r="A1" s="1" t="s">
        <v>678</v>
      </c>
      <c r="B1" s="1"/>
      <c r="C1" s="1"/>
      <c r="D1" s="1"/>
      <c r="E1" s="1"/>
      <c r="G1" s="2" t="s">
        <v>679</v>
      </c>
      <c r="H1" s="2"/>
      <c r="I1" s="2"/>
      <c r="J1" s="2"/>
      <c r="K1" s="2"/>
      <c r="L1" s="3" t="s">
        <v>97</v>
      </c>
    </row>
    <row r="2" spans="1:13" ht="15.75" customHeight="1" x14ac:dyDescent="0.4">
      <c r="A2" s="1"/>
      <c r="B2" s="1"/>
      <c r="C2" s="1"/>
      <c r="D2" s="1"/>
      <c r="E2" s="1"/>
      <c r="G2" s="4" t="s">
        <v>3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7" t="s">
        <v>10</v>
      </c>
      <c r="H4" s="8" t="s">
        <v>680</v>
      </c>
      <c r="I4" s="9"/>
      <c r="J4" s="8"/>
      <c r="K4" s="10" t="s">
        <v>681</v>
      </c>
      <c r="L4" s="8" t="s">
        <v>682</v>
      </c>
    </row>
    <row r="5" spans="1:13" ht="30" customHeight="1" x14ac:dyDescent="0.25">
      <c r="G5" s="7" t="s">
        <v>16</v>
      </c>
      <c r="H5" s="8" t="s">
        <v>680</v>
      </c>
      <c r="I5" s="9"/>
      <c r="J5" s="8"/>
      <c r="K5" s="10" t="s">
        <v>681</v>
      </c>
      <c r="L5" s="8" t="s">
        <v>682</v>
      </c>
    </row>
    <row r="6" spans="1:13" ht="30" customHeight="1" x14ac:dyDescent="0.25">
      <c r="G6" s="7" t="s">
        <v>18</v>
      </c>
      <c r="H6" s="8" t="s">
        <v>683</v>
      </c>
      <c r="I6" s="9" t="s">
        <v>684</v>
      </c>
      <c r="J6" s="8" t="s">
        <v>685</v>
      </c>
      <c r="K6" s="10" t="s">
        <v>686</v>
      </c>
      <c r="L6" s="8" t="s">
        <v>25</v>
      </c>
    </row>
    <row r="7" spans="1:13" ht="30" customHeight="1" x14ac:dyDescent="0.25">
      <c r="G7" s="7" t="s">
        <v>19</v>
      </c>
      <c r="H7" s="8" t="s">
        <v>683</v>
      </c>
      <c r="I7" s="9" t="s">
        <v>17</v>
      </c>
      <c r="J7" s="8" t="s">
        <v>237</v>
      </c>
      <c r="K7" s="10" t="s">
        <v>686</v>
      </c>
      <c r="L7" s="8" t="s">
        <v>25</v>
      </c>
    </row>
    <row r="8" spans="1:13" ht="30" customHeight="1" x14ac:dyDescent="0.25">
      <c r="G8" s="7" t="s">
        <v>20</v>
      </c>
      <c r="H8" s="8" t="s">
        <v>687</v>
      </c>
      <c r="I8" s="9" t="s">
        <v>688</v>
      </c>
      <c r="J8" s="8" t="s">
        <v>237</v>
      </c>
      <c r="K8" s="10" t="s">
        <v>686</v>
      </c>
      <c r="L8" s="8" t="s">
        <v>25</v>
      </c>
    </row>
    <row r="9" spans="1:13" ht="30" customHeight="1" x14ac:dyDescent="0.25">
      <c r="G9" s="7" t="s">
        <v>26</v>
      </c>
      <c r="H9" s="8" t="s">
        <v>689</v>
      </c>
      <c r="I9" s="9" t="s">
        <v>690</v>
      </c>
      <c r="J9" s="8" t="s">
        <v>237</v>
      </c>
      <c r="K9" s="10" t="s">
        <v>686</v>
      </c>
      <c r="L9" s="8" t="s">
        <v>25</v>
      </c>
      <c r="M9" s="13"/>
    </row>
    <row r="10" spans="1:13" ht="30" customHeight="1" x14ac:dyDescent="0.25">
      <c r="G10" s="7" t="s">
        <v>29</v>
      </c>
      <c r="H10" s="8" t="s">
        <v>691</v>
      </c>
      <c r="I10" s="9" t="s">
        <v>692</v>
      </c>
      <c r="J10" s="8" t="s">
        <v>693</v>
      </c>
      <c r="K10" s="10" t="s">
        <v>694</v>
      </c>
      <c r="L10" s="8" t="s">
        <v>25</v>
      </c>
      <c r="M10" s="13"/>
    </row>
    <row r="11" spans="1:13" ht="30" customHeight="1" x14ac:dyDescent="0.25">
      <c r="G11" s="7" t="s">
        <v>30</v>
      </c>
      <c r="H11" s="8" t="s">
        <v>695</v>
      </c>
      <c r="I11" s="9" t="s">
        <v>696</v>
      </c>
      <c r="J11" s="8" t="s">
        <v>697</v>
      </c>
      <c r="K11" s="10" t="s">
        <v>694</v>
      </c>
      <c r="L11" s="8" t="s">
        <v>25</v>
      </c>
      <c r="M11" s="13"/>
    </row>
    <row r="12" spans="1:13" ht="30" customHeight="1" x14ac:dyDescent="0.25">
      <c r="G12" s="7" t="s">
        <v>35</v>
      </c>
      <c r="H12" s="8" t="s">
        <v>698</v>
      </c>
      <c r="I12" s="9" t="s">
        <v>699</v>
      </c>
      <c r="J12" s="8" t="s">
        <v>700</v>
      </c>
      <c r="K12" s="10" t="s">
        <v>701</v>
      </c>
      <c r="L12" s="8" t="s">
        <v>25</v>
      </c>
      <c r="M12" s="13"/>
    </row>
    <row r="13" spans="1:13" ht="30" customHeight="1" x14ac:dyDescent="0.25">
      <c r="G13" s="7" t="s">
        <v>36</v>
      </c>
      <c r="H13" s="8" t="s">
        <v>702</v>
      </c>
      <c r="I13" s="9" t="s">
        <v>703</v>
      </c>
      <c r="J13" s="8" t="s">
        <v>704</v>
      </c>
      <c r="K13" s="10" t="s">
        <v>701</v>
      </c>
      <c r="L13" s="8" t="s">
        <v>25</v>
      </c>
      <c r="M13" s="13"/>
    </row>
    <row r="14" spans="1:13" ht="30" customHeight="1" x14ac:dyDescent="0.25">
      <c r="G14" s="7" t="s">
        <v>37</v>
      </c>
      <c r="H14" s="8" t="s">
        <v>705</v>
      </c>
      <c r="I14" s="9" t="s">
        <v>706</v>
      </c>
      <c r="J14" s="8" t="s">
        <v>707</v>
      </c>
      <c r="K14" s="10" t="s">
        <v>708</v>
      </c>
      <c r="L14" s="8" t="s">
        <v>25</v>
      </c>
      <c r="M14" s="13"/>
    </row>
    <row r="15" spans="1:13" ht="30" customHeight="1" x14ac:dyDescent="0.25">
      <c r="G15" s="7" t="s">
        <v>42</v>
      </c>
      <c r="H15" s="8"/>
      <c r="I15" s="9"/>
      <c r="J15" s="8"/>
      <c r="K15" s="10"/>
      <c r="L15" s="8"/>
      <c r="M15" s="13"/>
    </row>
    <row r="16" spans="1:13" ht="30" customHeight="1" x14ac:dyDescent="0.25">
      <c r="G16" s="7" t="s">
        <v>46</v>
      </c>
      <c r="H16" s="8"/>
      <c r="I16" s="8"/>
      <c r="J16" s="8"/>
      <c r="K16" s="10"/>
      <c r="L16" s="8"/>
      <c r="M16" s="13"/>
    </row>
    <row r="17" spans="7:13" ht="30" customHeight="1" x14ac:dyDescent="0.25">
      <c r="G17" s="7" t="s">
        <v>47</v>
      </c>
      <c r="H17" s="8"/>
      <c r="I17" s="9"/>
      <c r="J17" s="8"/>
      <c r="K17" s="10"/>
      <c r="L17" s="8"/>
      <c r="M17" s="13"/>
    </row>
    <row r="18" spans="7:13" ht="30" customHeight="1" x14ac:dyDescent="0.25">
      <c r="G18" s="7" t="s">
        <v>48</v>
      </c>
      <c r="H18" s="8"/>
      <c r="I18" s="9"/>
      <c r="J18" s="8"/>
      <c r="K18" s="10"/>
      <c r="L18" s="8"/>
      <c r="M18" s="13"/>
    </row>
    <row r="19" spans="7:13" ht="30" customHeight="1" x14ac:dyDescent="0.25">
      <c r="G19" s="7" t="s">
        <v>49</v>
      </c>
      <c r="H19" s="8"/>
      <c r="I19" s="9"/>
      <c r="J19" s="8"/>
      <c r="K19" s="10"/>
      <c r="L19" s="8"/>
      <c r="M19" s="13"/>
    </row>
    <row r="20" spans="7:13" ht="30" customHeight="1" x14ac:dyDescent="0.25">
      <c r="G20" s="7" t="s">
        <v>50</v>
      </c>
      <c r="H20" s="8"/>
      <c r="I20" s="9"/>
      <c r="J20" s="8"/>
      <c r="K20" s="10"/>
      <c r="L20" s="8"/>
      <c r="M20" s="13"/>
    </row>
    <row r="21" spans="7:13" ht="30" customHeight="1" x14ac:dyDescent="0.25">
      <c r="G21" s="7" t="s">
        <v>54</v>
      </c>
      <c r="H21" s="8"/>
      <c r="I21" s="9"/>
      <c r="J21" s="8"/>
      <c r="K21" s="10"/>
      <c r="L21" s="8"/>
      <c r="M21" s="13"/>
    </row>
    <row r="22" spans="7:13" ht="30" customHeight="1" x14ac:dyDescent="0.25">
      <c r="G22" s="7" t="s">
        <v>57</v>
      </c>
      <c r="H22" s="8"/>
      <c r="I22" s="9"/>
      <c r="J22" s="8"/>
      <c r="K22" s="10"/>
      <c r="L22" s="8"/>
      <c r="M22" s="13"/>
    </row>
    <row r="23" spans="7:13" ht="30" customHeight="1" x14ac:dyDescent="0.25">
      <c r="G23" s="7" t="s">
        <v>61</v>
      </c>
      <c r="H23" s="8"/>
      <c r="I23" s="9"/>
      <c r="J23" s="8"/>
      <c r="K23" s="10"/>
      <c r="L23" s="8"/>
      <c r="M23" s="13"/>
    </row>
    <row r="24" spans="7:13" ht="30" customHeight="1" x14ac:dyDescent="0.25">
      <c r="G24" s="7" t="s">
        <v>63</v>
      </c>
      <c r="H24" s="8"/>
      <c r="I24" s="9"/>
      <c r="J24" s="8"/>
      <c r="K24" s="10"/>
      <c r="L24" s="8"/>
      <c r="M24" s="13"/>
    </row>
    <row r="25" spans="7:13" ht="30" customHeight="1" x14ac:dyDescent="0.25">
      <c r="G25" s="7" t="s">
        <v>64</v>
      </c>
      <c r="H25" s="8"/>
      <c r="I25" s="9"/>
      <c r="J25" s="8"/>
      <c r="K25" s="10"/>
      <c r="L25" s="8"/>
      <c r="M25" s="13"/>
    </row>
    <row r="26" spans="7:13" ht="30" customHeight="1" x14ac:dyDescent="0.25">
      <c r="G26" s="7" t="s">
        <v>65</v>
      </c>
      <c r="H26" s="8"/>
      <c r="I26" s="9"/>
      <c r="J26" s="8"/>
      <c r="K26" s="10"/>
      <c r="L26" s="8"/>
    </row>
    <row r="27" spans="7:13" ht="30" customHeight="1" x14ac:dyDescent="0.25">
      <c r="G27" s="7" t="s">
        <v>67</v>
      </c>
      <c r="H27" s="8"/>
      <c r="I27" s="9"/>
      <c r="J27" s="8"/>
      <c r="K27" s="10"/>
      <c r="L27" s="8"/>
    </row>
    <row r="28" spans="7:13" ht="30" customHeight="1" x14ac:dyDescent="0.25">
      <c r="G28" s="7" t="s">
        <v>68</v>
      </c>
      <c r="H28" s="8"/>
      <c r="I28" s="8"/>
      <c r="J28" s="8"/>
      <c r="K28" s="10"/>
      <c r="L28" s="8"/>
    </row>
    <row r="29" spans="7:13" ht="30" customHeight="1" x14ac:dyDescent="0.25">
      <c r="G29" s="7" t="s">
        <v>69</v>
      </c>
      <c r="H29" s="8"/>
      <c r="I29" s="8"/>
      <c r="J29" s="8"/>
      <c r="K29" s="10"/>
      <c r="L29" s="8"/>
    </row>
    <row r="30" spans="7:13" ht="30" customHeight="1" x14ac:dyDescent="0.25">
      <c r="G30" s="7" t="s">
        <v>70</v>
      </c>
      <c r="H30" s="8"/>
      <c r="I30" s="9"/>
      <c r="J30" s="8"/>
      <c r="K30" s="10"/>
      <c r="L30" s="8"/>
    </row>
    <row r="31" spans="7:13" ht="30" customHeight="1" x14ac:dyDescent="0.25">
      <c r="G31" s="7" t="s">
        <v>71</v>
      </c>
      <c r="H31" s="8"/>
      <c r="I31" s="8"/>
      <c r="J31" s="8"/>
      <c r="K31" s="10"/>
      <c r="L31" s="8"/>
    </row>
    <row r="32" spans="7:13" ht="30" customHeight="1" x14ac:dyDescent="0.25">
      <c r="G32" s="7" t="s">
        <v>72</v>
      </c>
      <c r="H32" s="8"/>
      <c r="I32" s="9"/>
      <c r="J32" s="8"/>
      <c r="K32" s="10"/>
      <c r="L32" s="8"/>
    </row>
    <row r="33" spans="7:12" ht="30" customHeight="1" x14ac:dyDescent="0.25">
      <c r="G33" s="7" t="s">
        <v>73</v>
      </c>
      <c r="H33" s="8"/>
      <c r="I33" s="9"/>
      <c r="J33" s="8"/>
      <c r="K33" s="10"/>
      <c r="L33" s="8"/>
    </row>
    <row r="34" spans="7:12" ht="30" customHeight="1" x14ac:dyDescent="0.25">
      <c r="G34" s="7" t="s">
        <v>74</v>
      </c>
      <c r="H34" s="8"/>
      <c r="I34" s="9"/>
      <c r="J34" s="8"/>
      <c r="K34" s="10"/>
      <c r="L34" s="8"/>
    </row>
  </sheetData>
  <mergeCells count="3">
    <mergeCell ref="A1:E4"/>
    <mergeCell ref="G1:K1"/>
    <mergeCell ref="G2:K2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pageSetUpPr fitToPage="1"/>
  </sheetPr>
  <dimension ref="A1:J157"/>
  <sheetViews>
    <sheetView topLeftCell="A44" zoomScale="73" zoomScaleNormal="73" workbookViewId="0">
      <selection activeCell="F70" sqref="F70"/>
    </sheetView>
  </sheetViews>
  <sheetFormatPr baseColWidth="10" defaultRowHeight="15" x14ac:dyDescent="0.25"/>
  <cols>
    <col min="2" max="2" width="34" customWidth="1"/>
    <col min="3" max="3" width="16.140625" customWidth="1"/>
    <col min="4" max="4" width="15.42578125" customWidth="1"/>
    <col min="5" max="5" width="17.85546875" customWidth="1"/>
    <col min="6" max="6" width="23.28515625" customWidth="1"/>
    <col min="7" max="7" width="23" style="37" customWidth="1"/>
  </cols>
  <sheetData>
    <row r="1" spans="1:8" ht="38.25" customHeight="1" x14ac:dyDescent="0.3">
      <c r="A1" s="14" t="s">
        <v>542</v>
      </c>
      <c r="B1" s="14"/>
      <c r="C1" s="14"/>
      <c r="D1" s="14"/>
      <c r="E1" s="14"/>
      <c r="F1" s="14"/>
    </row>
    <row r="3" spans="1:8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317</v>
      </c>
      <c r="G3" s="38"/>
      <c r="H3" s="17"/>
    </row>
    <row r="4" spans="1:8" ht="20.100000000000001" customHeight="1" x14ac:dyDescent="0.25">
      <c r="A4" s="8" t="s">
        <v>10</v>
      </c>
      <c r="B4" s="18" t="str">
        <f>'[1]LA GRIETA (22-08)'!H4</f>
        <v>FRANK</v>
      </c>
      <c r="C4" s="19"/>
      <c r="D4" s="19"/>
      <c r="E4" s="20">
        <f t="shared" ref="E4:E34" si="0">C4-D4</f>
        <v>0</v>
      </c>
      <c r="F4" s="21"/>
    </row>
    <row r="5" spans="1:8" ht="20.100000000000001" customHeight="1" x14ac:dyDescent="0.25">
      <c r="A5" s="8" t="s">
        <v>16</v>
      </c>
      <c r="B5" s="18" t="str">
        <f>'[1]LA GRIETA (22-08)'!H5</f>
        <v>FRANK</v>
      </c>
      <c r="C5" s="19"/>
      <c r="D5" s="19"/>
      <c r="E5" s="20">
        <f t="shared" si="0"/>
        <v>0</v>
      </c>
      <c r="F5" s="21"/>
    </row>
    <row r="6" spans="1:8" ht="20.100000000000001" customHeight="1" x14ac:dyDescent="0.25">
      <c r="A6" s="8" t="s">
        <v>18</v>
      </c>
      <c r="B6" s="18" t="str">
        <f>'[1]LA GRIETA (22-08)'!H6</f>
        <v>MILANGELA SANTELIZ</v>
      </c>
      <c r="C6" s="19">
        <v>45</v>
      </c>
      <c r="D6" s="19">
        <v>45</v>
      </c>
      <c r="E6" s="20">
        <f t="shared" si="0"/>
        <v>0</v>
      </c>
      <c r="F6" s="21"/>
    </row>
    <row r="7" spans="1:8" ht="20.100000000000001" customHeight="1" x14ac:dyDescent="0.25">
      <c r="A7" s="8" t="s">
        <v>19</v>
      </c>
      <c r="B7" s="18" t="str">
        <f>'[1]LA GRIETA (22-08)'!H7</f>
        <v>MILANGELA SANTELIZ</v>
      </c>
      <c r="C7" s="19">
        <v>45</v>
      </c>
      <c r="D7" s="19">
        <v>45</v>
      </c>
      <c r="E7" s="20">
        <f t="shared" si="0"/>
        <v>0</v>
      </c>
      <c r="F7" s="21"/>
    </row>
    <row r="8" spans="1:8" ht="20.100000000000001" customHeight="1" x14ac:dyDescent="0.25">
      <c r="A8" s="8" t="s">
        <v>20</v>
      </c>
      <c r="B8" s="18" t="str">
        <f>'[1]LA GRIETA (22-08)'!H8</f>
        <v>THIAGO REYES</v>
      </c>
      <c r="C8" s="19">
        <v>45</v>
      </c>
      <c r="D8" s="19">
        <v>45</v>
      </c>
      <c r="E8" s="20">
        <f t="shared" si="0"/>
        <v>0</v>
      </c>
      <c r="F8" s="21"/>
    </row>
    <row r="9" spans="1:8" ht="20.100000000000001" customHeight="1" x14ac:dyDescent="0.25">
      <c r="A9" s="8" t="s">
        <v>26</v>
      </c>
      <c r="B9" s="18" t="str">
        <f>'[1]LA GRIETA (22-08)'!H9</f>
        <v>SANTIAGO CORDERO</v>
      </c>
      <c r="C9" s="19">
        <v>45</v>
      </c>
      <c r="D9" s="19">
        <v>45</v>
      </c>
      <c r="E9" s="20">
        <f t="shared" si="0"/>
        <v>0</v>
      </c>
      <c r="F9" s="21"/>
    </row>
    <row r="10" spans="1:8" ht="20.100000000000001" customHeight="1" x14ac:dyDescent="0.25">
      <c r="A10" s="8" t="s">
        <v>29</v>
      </c>
      <c r="B10" s="18" t="str">
        <f>'[1]LA GRIETA (22-08)'!H10</f>
        <v>CAROLINA VASQUEZ</v>
      </c>
      <c r="C10" s="19">
        <v>45</v>
      </c>
      <c r="D10" s="19">
        <v>45</v>
      </c>
      <c r="E10" s="20">
        <f t="shared" si="0"/>
        <v>0</v>
      </c>
      <c r="F10" s="21"/>
    </row>
    <row r="11" spans="1:8" ht="20.100000000000001" customHeight="1" x14ac:dyDescent="0.25">
      <c r="A11" s="8" t="s">
        <v>30</v>
      </c>
      <c r="B11" s="18" t="str">
        <f>'[1]LA GRIETA (22-08)'!H11</f>
        <v>ROXANA MENDOZA</v>
      </c>
      <c r="C11" s="19">
        <v>30</v>
      </c>
      <c r="D11" s="19">
        <v>30</v>
      </c>
      <c r="E11" s="20">
        <f t="shared" si="0"/>
        <v>0</v>
      </c>
      <c r="F11" s="21"/>
    </row>
    <row r="12" spans="1:8" ht="20.100000000000001" customHeight="1" x14ac:dyDescent="0.25">
      <c r="A12" s="8" t="s">
        <v>35</v>
      </c>
      <c r="B12" s="18" t="str">
        <f>'[1]LA GRIETA (22-08)'!H12</f>
        <v>STEFANI CHAVEZ</v>
      </c>
      <c r="C12" s="19">
        <v>45</v>
      </c>
      <c r="D12" s="19">
        <v>45</v>
      </c>
      <c r="E12" s="20">
        <f t="shared" si="0"/>
        <v>0</v>
      </c>
      <c r="F12" s="21"/>
    </row>
    <row r="13" spans="1:8" ht="20.100000000000001" customHeight="1" x14ac:dyDescent="0.25">
      <c r="A13" s="8" t="s">
        <v>36</v>
      </c>
      <c r="B13" s="18" t="str">
        <f>'[1]LA GRIETA (22-08)'!H13</f>
        <v>KENNYMAR CHAVEZ</v>
      </c>
      <c r="C13" s="19">
        <v>45</v>
      </c>
      <c r="D13" s="19">
        <v>45</v>
      </c>
      <c r="E13" s="20">
        <f t="shared" si="0"/>
        <v>0</v>
      </c>
      <c r="F13" s="21"/>
    </row>
    <row r="14" spans="1:8" ht="20.100000000000001" customHeight="1" x14ac:dyDescent="0.25">
      <c r="A14" s="8" t="s">
        <v>37</v>
      </c>
      <c r="B14" s="18" t="str">
        <f>'[1]LA GRIETA (22-08)'!H14</f>
        <v>NAHOMI SUAREZ</v>
      </c>
      <c r="C14" s="19">
        <v>45</v>
      </c>
      <c r="D14" s="19">
        <v>45</v>
      </c>
      <c r="E14" s="20">
        <f t="shared" si="0"/>
        <v>0</v>
      </c>
      <c r="F14" s="21"/>
    </row>
    <row r="15" spans="1:8" ht="20.100000000000001" customHeight="1" x14ac:dyDescent="0.25">
      <c r="A15" s="8" t="s">
        <v>42</v>
      </c>
      <c r="B15" s="18">
        <f>'[1]LA GRIETA (22-08)'!H15</f>
        <v>0</v>
      </c>
      <c r="C15" s="19"/>
      <c r="D15" s="19"/>
      <c r="E15" s="20">
        <f t="shared" si="0"/>
        <v>0</v>
      </c>
      <c r="F15" s="21"/>
    </row>
    <row r="16" spans="1:8" ht="20.100000000000001" customHeight="1" x14ac:dyDescent="0.25">
      <c r="A16" s="8" t="s">
        <v>46</v>
      </c>
      <c r="B16" s="18">
        <f>'[1]LA GRIETA (22-08)'!H16</f>
        <v>0</v>
      </c>
      <c r="C16" s="19"/>
      <c r="D16" s="19"/>
      <c r="E16" s="20">
        <f t="shared" si="0"/>
        <v>0</v>
      </c>
      <c r="F16" s="21"/>
    </row>
    <row r="17" spans="1:6" ht="20.100000000000001" customHeight="1" x14ac:dyDescent="0.25">
      <c r="A17" s="8" t="s">
        <v>47</v>
      </c>
      <c r="B17" s="18">
        <f>'[1]LA GRIETA (22-08)'!H17</f>
        <v>0</v>
      </c>
      <c r="C17" s="19"/>
      <c r="D17" s="19"/>
      <c r="E17" s="20">
        <f t="shared" si="0"/>
        <v>0</v>
      </c>
      <c r="F17" s="21"/>
    </row>
    <row r="18" spans="1:6" ht="20.100000000000001" customHeight="1" x14ac:dyDescent="0.25">
      <c r="A18" s="8" t="s">
        <v>48</v>
      </c>
      <c r="B18" s="18">
        <f>'[1]LA GRIETA (22-08)'!H18</f>
        <v>0</v>
      </c>
      <c r="C18" s="19"/>
      <c r="D18" s="19"/>
      <c r="E18" s="20">
        <f t="shared" si="0"/>
        <v>0</v>
      </c>
      <c r="F18" s="21"/>
    </row>
    <row r="19" spans="1:6" ht="20.100000000000001" customHeight="1" x14ac:dyDescent="0.25">
      <c r="A19" s="8" t="s">
        <v>49</v>
      </c>
      <c r="B19" s="18">
        <f>'[1]LA GRIETA (22-08)'!H19</f>
        <v>0</v>
      </c>
      <c r="C19" s="19"/>
      <c r="D19" s="19"/>
      <c r="E19" s="20">
        <f t="shared" si="0"/>
        <v>0</v>
      </c>
      <c r="F19" s="21"/>
    </row>
    <row r="20" spans="1:6" ht="20.100000000000001" customHeight="1" x14ac:dyDescent="0.25">
      <c r="A20" s="8" t="s">
        <v>50</v>
      </c>
      <c r="B20" s="18">
        <f>'[1]LA GRIETA (22-08)'!H20</f>
        <v>0</v>
      </c>
      <c r="C20" s="19"/>
      <c r="D20" s="19"/>
      <c r="E20" s="20">
        <f t="shared" si="0"/>
        <v>0</v>
      </c>
      <c r="F20" s="21"/>
    </row>
    <row r="21" spans="1:6" ht="20.100000000000001" customHeight="1" x14ac:dyDescent="0.25">
      <c r="A21" s="8" t="s">
        <v>54</v>
      </c>
      <c r="B21" s="18">
        <f>'[1]LA GRIETA (22-08)'!H21</f>
        <v>0</v>
      </c>
      <c r="C21" s="19"/>
      <c r="D21" s="19"/>
      <c r="E21" s="20">
        <f t="shared" si="0"/>
        <v>0</v>
      </c>
      <c r="F21" s="21"/>
    </row>
    <row r="22" spans="1:6" ht="20.100000000000001" customHeight="1" x14ac:dyDescent="0.25">
      <c r="A22" s="8" t="s">
        <v>57</v>
      </c>
      <c r="B22" s="18">
        <f>'[1]LA GRIETA (22-08)'!H22</f>
        <v>0</v>
      </c>
      <c r="C22" s="19"/>
      <c r="D22" s="19"/>
      <c r="E22" s="20">
        <f t="shared" si="0"/>
        <v>0</v>
      </c>
      <c r="F22" s="21"/>
    </row>
    <row r="23" spans="1:6" ht="20.100000000000001" customHeight="1" x14ac:dyDescent="0.25">
      <c r="A23" s="8" t="s">
        <v>61</v>
      </c>
      <c r="B23" s="18">
        <f>'[1]LA GRIETA (22-08)'!H23</f>
        <v>0</v>
      </c>
      <c r="C23" s="19"/>
      <c r="D23" s="19"/>
      <c r="E23" s="20">
        <f t="shared" si="0"/>
        <v>0</v>
      </c>
      <c r="F23" s="21"/>
    </row>
    <row r="24" spans="1:6" ht="20.100000000000001" customHeight="1" x14ac:dyDescent="0.25">
      <c r="A24" s="8" t="s">
        <v>63</v>
      </c>
      <c r="B24" s="18">
        <f>'[1]LA GRIETA (22-08)'!H24</f>
        <v>0</v>
      </c>
      <c r="C24" s="19"/>
      <c r="D24" s="19"/>
      <c r="E24" s="20">
        <f t="shared" si="0"/>
        <v>0</v>
      </c>
      <c r="F24" s="21"/>
    </row>
    <row r="25" spans="1:6" ht="20.100000000000001" customHeight="1" x14ac:dyDescent="0.25">
      <c r="A25" s="8" t="s">
        <v>64</v>
      </c>
      <c r="B25" s="18">
        <f>'[1]LA GRIETA (22-08)'!H25</f>
        <v>0</v>
      </c>
      <c r="C25" s="19"/>
      <c r="D25" s="19"/>
      <c r="E25" s="20">
        <f t="shared" si="0"/>
        <v>0</v>
      </c>
      <c r="F25" s="21"/>
    </row>
    <row r="26" spans="1:6" ht="20.100000000000001" customHeight="1" x14ac:dyDescent="0.25">
      <c r="A26" s="8" t="s">
        <v>65</v>
      </c>
      <c r="B26" s="18">
        <f>'[1]LA GRIETA (22-08)'!H26</f>
        <v>0</v>
      </c>
      <c r="C26" s="19"/>
      <c r="D26" s="19"/>
      <c r="E26" s="20">
        <f t="shared" si="0"/>
        <v>0</v>
      </c>
      <c r="F26" s="21"/>
    </row>
    <row r="27" spans="1:6" ht="20.100000000000001" customHeight="1" x14ac:dyDescent="0.25">
      <c r="A27" s="8" t="s">
        <v>67</v>
      </c>
      <c r="B27" s="18">
        <f>'[1]LA GRIETA (22-08)'!H27</f>
        <v>0</v>
      </c>
      <c r="C27" s="19"/>
      <c r="D27" s="19"/>
      <c r="E27" s="20">
        <f t="shared" si="0"/>
        <v>0</v>
      </c>
      <c r="F27" s="21"/>
    </row>
    <row r="28" spans="1:6" ht="20.100000000000001" customHeight="1" x14ac:dyDescent="0.25">
      <c r="A28" s="8" t="s">
        <v>68</v>
      </c>
      <c r="B28" s="18">
        <f>'[1]LA GRIETA (22-08)'!H28</f>
        <v>0</v>
      </c>
      <c r="C28" s="19"/>
      <c r="D28" s="19"/>
      <c r="E28" s="20">
        <f t="shared" si="0"/>
        <v>0</v>
      </c>
      <c r="F28" s="21"/>
    </row>
    <row r="29" spans="1:6" ht="20.100000000000001" customHeight="1" x14ac:dyDescent="0.25">
      <c r="A29" s="8" t="s">
        <v>69</v>
      </c>
      <c r="B29" s="18">
        <f>'[1]LA GRIETA (22-08)'!H29</f>
        <v>0</v>
      </c>
      <c r="C29" s="19"/>
      <c r="D29" s="19"/>
      <c r="E29" s="20">
        <f t="shared" si="0"/>
        <v>0</v>
      </c>
      <c r="F29" s="21"/>
    </row>
    <row r="30" spans="1:6" ht="20.100000000000001" customHeight="1" x14ac:dyDescent="0.25">
      <c r="A30" s="8" t="s">
        <v>70</v>
      </c>
      <c r="B30" s="18">
        <f>'[1]LA GRIETA (22-08)'!H30</f>
        <v>0</v>
      </c>
      <c r="C30" s="19"/>
      <c r="D30" s="19"/>
      <c r="E30" s="20">
        <f t="shared" si="0"/>
        <v>0</v>
      </c>
      <c r="F30" s="21"/>
    </row>
    <row r="31" spans="1:6" ht="20.100000000000001" customHeight="1" x14ac:dyDescent="0.25">
      <c r="A31" s="8" t="s">
        <v>71</v>
      </c>
      <c r="B31" s="18">
        <f>'[1]LA GRIETA (22-08)'!H31</f>
        <v>0</v>
      </c>
      <c r="C31" s="19"/>
      <c r="D31" s="19"/>
      <c r="E31" s="20">
        <f t="shared" si="0"/>
        <v>0</v>
      </c>
      <c r="F31" s="21"/>
    </row>
    <row r="32" spans="1:6" ht="20.100000000000001" customHeight="1" x14ac:dyDescent="0.25">
      <c r="A32" s="8" t="s">
        <v>72</v>
      </c>
      <c r="B32" s="18">
        <f>'[1]LA GRIETA (22-08)'!H32</f>
        <v>0</v>
      </c>
      <c r="C32" s="19"/>
      <c r="D32" s="19"/>
      <c r="E32" s="20">
        <f t="shared" si="0"/>
        <v>0</v>
      </c>
      <c r="F32" s="21"/>
    </row>
    <row r="33" spans="1:7" ht="20.100000000000001" customHeight="1" x14ac:dyDescent="0.25">
      <c r="A33" s="8" t="s">
        <v>73</v>
      </c>
      <c r="B33" s="18">
        <f>'[1]LA GRIETA (22-08)'!H33</f>
        <v>0</v>
      </c>
      <c r="C33" s="19"/>
      <c r="D33" s="19"/>
      <c r="E33" s="20">
        <f t="shared" si="0"/>
        <v>0</v>
      </c>
      <c r="F33" s="21"/>
    </row>
    <row r="34" spans="1:7" ht="20.100000000000001" customHeight="1" x14ac:dyDescent="0.25">
      <c r="A34" s="8" t="s">
        <v>74</v>
      </c>
      <c r="B34" s="18">
        <f>'[1]LA GRIETA (22-08)'!H34</f>
        <v>0</v>
      </c>
      <c r="C34" s="19"/>
      <c r="D34" s="19"/>
      <c r="E34" s="20">
        <f t="shared" si="0"/>
        <v>0</v>
      </c>
      <c r="F34" s="21"/>
    </row>
    <row r="35" spans="1:7" ht="20.100000000000001" customHeight="1" x14ac:dyDescent="0.25"/>
    <row r="36" spans="1:7" ht="20.100000000000001" customHeight="1" x14ac:dyDescent="0.25">
      <c r="B36" s="15" t="s">
        <v>79</v>
      </c>
      <c r="C36" s="22">
        <f>SUM(C4:C34)</f>
        <v>390</v>
      </c>
      <c r="D36" s="22">
        <f>SUM(D4:D34)</f>
        <v>390</v>
      </c>
      <c r="E36" s="22">
        <f>SUM(E4:E34)</f>
        <v>0</v>
      </c>
      <c r="F36" s="22">
        <f>SUM(F4:F34)</f>
        <v>0</v>
      </c>
    </row>
    <row r="48" spans="1:7" ht="29.25" customHeight="1" x14ac:dyDescent="0.45">
      <c r="A48" s="23" t="s">
        <v>80</v>
      </c>
      <c r="B48" s="23"/>
      <c r="C48" s="23"/>
      <c r="D48" s="23"/>
      <c r="E48" s="23"/>
      <c r="F48" s="23"/>
      <c r="G48" s="23"/>
    </row>
    <row r="49" spans="1:10" ht="30" customHeight="1" x14ac:dyDescent="0.25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39" t="s">
        <v>85</v>
      </c>
    </row>
    <row r="50" spans="1:10" ht="20.100000000000001" customHeight="1" x14ac:dyDescent="0.25">
      <c r="A50" s="25" t="s">
        <v>18</v>
      </c>
      <c r="B50" s="26" t="s">
        <v>709</v>
      </c>
      <c r="C50" s="27"/>
      <c r="D50" s="26"/>
      <c r="E50" s="26">
        <v>100</v>
      </c>
      <c r="F50" s="26" t="s">
        <v>710</v>
      </c>
      <c r="G50" s="28">
        <v>46256</v>
      </c>
      <c r="H50" s="29"/>
      <c r="I50" s="30"/>
      <c r="J50" s="30"/>
    </row>
    <row r="51" spans="1:10" ht="20.100000000000001" customHeight="1" x14ac:dyDescent="0.25">
      <c r="A51" s="25" t="s">
        <v>19</v>
      </c>
      <c r="B51" s="26" t="s">
        <v>709</v>
      </c>
      <c r="C51" s="27">
        <v>41004.82</v>
      </c>
      <c r="D51" s="26">
        <v>911.22</v>
      </c>
      <c r="E51" s="26">
        <v>45</v>
      </c>
      <c r="F51" s="26" t="s">
        <v>711</v>
      </c>
      <c r="G51" s="28">
        <v>46256</v>
      </c>
      <c r="H51" s="29"/>
      <c r="I51" s="30"/>
      <c r="J51" s="30"/>
    </row>
    <row r="52" spans="1:10" ht="20.100000000000001" customHeight="1" x14ac:dyDescent="0.25">
      <c r="A52" s="25" t="s">
        <v>20</v>
      </c>
      <c r="B52" s="26" t="s">
        <v>709</v>
      </c>
      <c r="C52" s="27">
        <v>31892.639999999999</v>
      </c>
      <c r="D52" s="26">
        <v>911.22</v>
      </c>
      <c r="E52" s="26">
        <v>35</v>
      </c>
      <c r="F52" s="26" t="s">
        <v>712</v>
      </c>
      <c r="G52" s="28">
        <v>46256</v>
      </c>
      <c r="H52" s="32"/>
      <c r="I52" s="32"/>
      <c r="J52" s="32"/>
    </row>
    <row r="53" spans="1:10" ht="20.100000000000001" customHeight="1" x14ac:dyDescent="0.25">
      <c r="A53" s="25" t="s">
        <v>26</v>
      </c>
      <c r="B53" s="26" t="s">
        <v>709</v>
      </c>
      <c r="C53" s="27"/>
      <c r="D53" s="26"/>
      <c r="E53" s="26"/>
      <c r="F53" s="26"/>
      <c r="G53" s="28"/>
      <c r="H53" s="32"/>
      <c r="I53" s="32"/>
      <c r="J53" s="32"/>
    </row>
    <row r="54" spans="1:10" ht="20.100000000000001" customHeight="1" x14ac:dyDescent="0.25">
      <c r="H54" s="30"/>
      <c r="I54" s="30"/>
      <c r="J54" s="30"/>
    </row>
    <row r="55" spans="1:10" ht="20.100000000000001" customHeight="1" x14ac:dyDescent="0.25">
      <c r="H55" s="30"/>
      <c r="I55" s="30"/>
      <c r="J55" s="30"/>
    </row>
    <row r="56" spans="1:10" ht="20.100000000000001" customHeight="1" x14ac:dyDescent="0.25">
      <c r="H56" s="32"/>
      <c r="I56" s="32"/>
      <c r="J56" s="32"/>
    </row>
    <row r="57" spans="1:10" ht="20.100000000000001" customHeight="1" x14ac:dyDescent="0.25">
      <c r="A57" s="25" t="s">
        <v>29</v>
      </c>
      <c r="B57" s="26" t="s">
        <v>713</v>
      </c>
      <c r="C57" s="27"/>
      <c r="D57" s="26"/>
      <c r="E57" s="26">
        <v>30</v>
      </c>
      <c r="F57" s="26" t="s">
        <v>710</v>
      </c>
      <c r="G57" s="28">
        <v>46256</v>
      </c>
      <c r="H57" s="32"/>
      <c r="I57" s="32"/>
      <c r="J57" s="32"/>
    </row>
    <row r="58" spans="1:10" ht="20.100000000000001" customHeight="1" x14ac:dyDescent="0.25">
      <c r="A58" s="25" t="s">
        <v>30</v>
      </c>
      <c r="B58" s="26" t="s">
        <v>714</v>
      </c>
      <c r="C58" s="27">
        <v>27336.54</v>
      </c>
      <c r="D58" s="26">
        <v>911.22</v>
      </c>
      <c r="E58" s="26">
        <v>30</v>
      </c>
      <c r="F58" s="26" t="s">
        <v>715</v>
      </c>
      <c r="G58" s="28">
        <v>46255</v>
      </c>
      <c r="H58" s="32"/>
      <c r="I58" s="32"/>
      <c r="J58" s="32"/>
    </row>
    <row r="59" spans="1:10" ht="20.100000000000001" customHeight="1" x14ac:dyDescent="0.25">
      <c r="C59" s="27"/>
      <c r="D59" s="26"/>
      <c r="E59" s="26">
        <v>15</v>
      </c>
      <c r="F59" s="26" t="s">
        <v>710</v>
      </c>
      <c r="G59" s="28">
        <v>46256</v>
      </c>
      <c r="H59" s="32"/>
      <c r="I59" s="32"/>
      <c r="J59" s="32"/>
    </row>
    <row r="60" spans="1:10" ht="20.100000000000001" customHeight="1" x14ac:dyDescent="0.25">
      <c r="H60" s="32"/>
      <c r="I60" s="32"/>
      <c r="J60" s="32"/>
    </row>
    <row r="61" spans="1:10" ht="20.100000000000001" customHeight="1" x14ac:dyDescent="0.25">
      <c r="H61" s="32"/>
      <c r="I61" s="32"/>
      <c r="J61" s="32"/>
    </row>
    <row r="62" spans="1:10" ht="20.100000000000001" customHeight="1" x14ac:dyDescent="0.25">
      <c r="H62" s="30"/>
      <c r="I62" s="30"/>
      <c r="J62" s="30"/>
    </row>
    <row r="63" spans="1:10" ht="20.100000000000001" customHeight="1" x14ac:dyDescent="0.25">
      <c r="A63" s="25" t="s">
        <v>35</v>
      </c>
      <c r="B63" s="26" t="s">
        <v>705</v>
      </c>
      <c r="C63" s="27">
        <v>31361.03</v>
      </c>
      <c r="D63" s="26">
        <v>896.03</v>
      </c>
      <c r="E63" s="26">
        <v>35</v>
      </c>
      <c r="F63" s="26" t="s">
        <v>716</v>
      </c>
      <c r="G63" s="28">
        <v>46252</v>
      </c>
      <c r="H63" s="30"/>
      <c r="I63" s="30"/>
      <c r="J63" s="30"/>
    </row>
    <row r="64" spans="1:10" ht="20.100000000000001" customHeight="1" x14ac:dyDescent="0.25">
      <c r="A64" s="25" t="s">
        <v>36</v>
      </c>
      <c r="B64" s="26" t="s">
        <v>705</v>
      </c>
      <c r="C64" s="27">
        <v>8850.7900000000009</v>
      </c>
      <c r="D64" s="26">
        <v>885.08</v>
      </c>
      <c r="E64" s="26">
        <v>10</v>
      </c>
      <c r="F64" s="26" t="s">
        <v>717</v>
      </c>
      <c r="G64" s="28">
        <v>46250</v>
      </c>
      <c r="H64" s="30"/>
      <c r="I64" s="30"/>
      <c r="J64" s="30"/>
    </row>
    <row r="65" spans="1:10" ht="20.100000000000001" customHeight="1" x14ac:dyDescent="0.25">
      <c r="A65" s="25" t="s">
        <v>37</v>
      </c>
      <c r="B65" s="26" t="s">
        <v>705</v>
      </c>
      <c r="C65" s="27">
        <v>22126.99</v>
      </c>
      <c r="D65" s="26">
        <v>885.08</v>
      </c>
      <c r="E65" s="26">
        <v>25</v>
      </c>
      <c r="F65" s="26" t="s">
        <v>718</v>
      </c>
      <c r="G65" s="28">
        <v>46247</v>
      </c>
      <c r="H65" s="30"/>
      <c r="I65" s="30"/>
      <c r="J65" s="30"/>
    </row>
    <row r="66" spans="1:10" ht="20.100000000000001" customHeight="1" x14ac:dyDescent="0.25">
      <c r="C66" s="27">
        <v>31892.639999999999</v>
      </c>
      <c r="D66" s="26">
        <v>911.22</v>
      </c>
      <c r="E66" s="26">
        <v>35</v>
      </c>
      <c r="F66" s="26" t="s">
        <v>719</v>
      </c>
      <c r="G66" s="28">
        <v>46257</v>
      </c>
      <c r="H66" s="32"/>
      <c r="I66" s="32"/>
      <c r="J66" s="32"/>
    </row>
    <row r="67" spans="1:10" ht="20.100000000000001" customHeight="1" x14ac:dyDescent="0.25">
      <c r="C67" s="27"/>
      <c r="D67" s="26"/>
      <c r="E67" s="26">
        <v>30</v>
      </c>
      <c r="F67" s="26" t="s">
        <v>710</v>
      </c>
      <c r="G67" s="28">
        <v>46256</v>
      </c>
      <c r="H67" s="32"/>
      <c r="I67" s="32"/>
      <c r="J67" s="32"/>
    </row>
    <row r="68" spans="1:10" ht="20.100000000000001" customHeight="1" x14ac:dyDescent="0.25">
      <c r="H68" s="32"/>
      <c r="I68" s="32"/>
      <c r="J68" s="32"/>
    </row>
    <row r="69" spans="1:10" ht="20.100000000000001" customHeight="1" x14ac:dyDescent="0.25">
      <c r="H69" s="32"/>
      <c r="I69" s="30"/>
      <c r="J69" s="30"/>
    </row>
    <row r="70" spans="1:10" ht="20.100000000000001" customHeight="1" x14ac:dyDescent="0.25">
      <c r="A70" s="25" t="s">
        <v>10</v>
      </c>
      <c r="B70" s="26" t="s">
        <v>720</v>
      </c>
      <c r="C70" s="27"/>
      <c r="D70" s="26"/>
      <c r="E70" s="26"/>
      <c r="F70" s="26"/>
      <c r="G70" s="28"/>
      <c r="H70" s="32"/>
      <c r="I70" s="30"/>
      <c r="J70" s="30"/>
    </row>
    <row r="71" spans="1:10" ht="20.100000000000001" customHeight="1" x14ac:dyDescent="0.25">
      <c r="A71" s="25" t="s">
        <v>16</v>
      </c>
      <c r="B71" s="26" t="s">
        <v>720</v>
      </c>
      <c r="C71" s="27"/>
      <c r="D71" s="26"/>
      <c r="E71" s="26"/>
      <c r="F71" s="26"/>
      <c r="G71" s="28"/>
      <c r="H71" s="32"/>
      <c r="I71" s="30"/>
      <c r="J71" s="30"/>
    </row>
    <row r="72" spans="1:10" ht="20.100000000000001" customHeight="1" x14ac:dyDescent="0.25">
      <c r="H72" s="32"/>
      <c r="I72" s="30"/>
      <c r="J72" s="30"/>
    </row>
    <row r="73" spans="1:10" ht="20.100000000000001" customHeight="1" x14ac:dyDescent="0.25">
      <c r="H73" s="32"/>
    </row>
    <row r="74" spans="1:10" ht="20.100000000000001" customHeight="1" x14ac:dyDescent="0.25">
      <c r="H74" s="32"/>
    </row>
    <row r="75" spans="1:10" ht="20.100000000000001" customHeight="1" x14ac:dyDescent="0.25">
      <c r="A75" s="25" t="s">
        <v>42</v>
      </c>
      <c r="B75" s="26" t="s">
        <v>94</v>
      </c>
      <c r="C75" s="27"/>
      <c r="D75" s="26"/>
      <c r="E75" s="26"/>
      <c r="F75" s="26"/>
      <c r="G75" s="28"/>
      <c r="H75" s="32"/>
    </row>
    <row r="76" spans="1:10" ht="20.100000000000001" customHeight="1" x14ac:dyDescent="0.25">
      <c r="A76" s="25" t="s">
        <v>46</v>
      </c>
      <c r="B76" s="26" t="s">
        <v>94</v>
      </c>
      <c r="C76" s="27"/>
      <c r="D76" s="26"/>
      <c r="E76" s="26"/>
      <c r="F76" s="26"/>
      <c r="G76" s="28"/>
      <c r="H76" s="32"/>
    </row>
    <row r="77" spans="1:10" ht="20.100000000000001" customHeight="1" x14ac:dyDescent="0.25">
      <c r="A77" s="25" t="s">
        <v>47</v>
      </c>
      <c r="B77" s="26" t="s">
        <v>94</v>
      </c>
      <c r="C77" s="27"/>
      <c r="D77" s="26"/>
      <c r="E77" s="26"/>
      <c r="F77" s="26"/>
      <c r="G77" s="28"/>
      <c r="H77" s="32"/>
    </row>
    <row r="78" spans="1:10" ht="20.100000000000001" customHeight="1" x14ac:dyDescent="0.25">
      <c r="A78" s="25" t="s">
        <v>48</v>
      </c>
      <c r="B78" s="26" t="s">
        <v>94</v>
      </c>
      <c r="C78" s="27"/>
      <c r="D78" s="26"/>
      <c r="E78" s="26"/>
      <c r="F78" s="26"/>
      <c r="G78" s="28"/>
      <c r="H78" s="32"/>
    </row>
    <row r="79" spans="1:10" ht="20.100000000000001" customHeight="1" x14ac:dyDescent="0.25">
      <c r="A79" s="25" t="s">
        <v>49</v>
      </c>
      <c r="B79" s="26" t="s">
        <v>94</v>
      </c>
      <c r="C79" s="27"/>
      <c r="D79" s="26"/>
      <c r="E79" s="26"/>
      <c r="F79" s="26"/>
      <c r="G79" s="28"/>
    </row>
    <row r="80" spans="1:10" ht="20.100000000000001" customHeight="1" x14ac:dyDescent="0.25">
      <c r="A80" s="25" t="s">
        <v>50</v>
      </c>
      <c r="B80" s="26" t="s">
        <v>94</v>
      </c>
      <c r="C80" s="27"/>
      <c r="D80" s="26"/>
      <c r="E80" s="26"/>
      <c r="F80" s="26"/>
      <c r="G80" s="28"/>
    </row>
    <row r="81" spans="1:7" ht="20.100000000000001" customHeight="1" x14ac:dyDescent="0.25">
      <c r="A81" s="25" t="s">
        <v>54</v>
      </c>
      <c r="B81" s="26" t="s">
        <v>94</v>
      </c>
      <c r="C81" s="27"/>
      <c r="D81" s="26"/>
      <c r="E81" s="26"/>
      <c r="F81" s="26"/>
      <c r="G81" s="28"/>
    </row>
    <row r="82" spans="1:7" ht="20.100000000000001" customHeight="1" x14ac:dyDescent="0.25">
      <c r="A82" s="25" t="s">
        <v>57</v>
      </c>
      <c r="B82" s="26" t="s">
        <v>94</v>
      </c>
      <c r="C82" s="27"/>
      <c r="D82" s="26"/>
      <c r="E82" s="26"/>
      <c r="F82" s="26"/>
      <c r="G82" s="28"/>
    </row>
    <row r="83" spans="1:7" ht="20.100000000000001" customHeight="1" x14ac:dyDescent="0.25">
      <c r="A83" s="25" t="s">
        <v>61</v>
      </c>
      <c r="B83" s="26" t="s">
        <v>94</v>
      </c>
      <c r="C83" s="27"/>
      <c r="D83" s="26"/>
      <c r="E83" s="26"/>
      <c r="F83" s="26"/>
      <c r="G83" s="28"/>
    </row>
    <row r="84" spans="1:7" ht="20.100000000000001" customHeight="1" x14ac:dyDescent="0.25">
      <c r="A84" s="25" t="s">
        <v>63</v>
      </c>
      <c r="B84" s="26" t="s">
        <v>94</v>
      </c>
      <c r="C84" s="27"/>
      <c r="D84" s="26"/>
      <c r="E84" s="26"/>
      <c r="F84" s="26"/>
      <c r="G84" s="28"/>
    </row>
    <row r="85" spans="1:7" ht="20.100000000000001" customHeight="1" x14ac:dyDescent="0.25">
      <c r="A85" s="25" t="s">
        <v>64</v>
      </c>
      <c r="B85" s="26" t="s">
        <v>94</v>
      </c>
      <c r="C85" s="27"/>
      <c r="D85" s="26"/>
      <c r="E85" s="26"/>
      <c r="F85" s="26"/>
      <c r="G85" s="28"/>
    </row>
    <row r="86" spans="1:7" ht="20.100000000000001" customHeight="1" x14ac:dyDescent="0.25">
      <c r="A86" s="25" t="s">
        <v>65</v>
      </c>
      <c r="B86" s="26" t="s">
        <v>94</v>
      </c>
      <c r="C86" s="27"/>
      <c r="D86" s="26"/>
      <c r="E86" s="26"/>
      <c r="F86" s="26"/>
      <c r="G86" s="28"/>
    </row>
    <row r="87" spans="1:7" ht="20.100000000000001" customHeight="1" x14ac:dyDescent="0.25">
      <c r="A87" s="25" t="s">
        <v>67</v>
      </c>
      <c r="B87" s="26" t="s">
        <v>94</v>
      </c>
      <c r="C87" s="27"/>
      <c r="D87" s="26"/>
      <c r="E87" s="26"/>
      <c r="F87" s="26"/>
      <c r="G87" s="28"/>
    </row>
    <row r="88" spans="1:7" ht="20.100000000000001" customHeight="1" x14ac:dyDescent="0.25">
      <c r="A88" s="25" t="s">
        <v>68</v>
      </c>
      <c r="B88" s="26" t="s">
        <v>94</v>
      </c>
      <c r="C88" s="27"/>
      <c r="D88" s="26"/>
      <c r="E88" s="26"/>
      <c r="F88" s="26"/>
      <c r="G88" s="28"/>
    </row>
    <row r="89" spans="1:7" ht="20.100000000000001" customHeight="1" x14ac:dyDescent="0.25">
      <c r="A89" s="25" t="s">
        <v>69</v>
      </c>
      <c r="B89" s="26" t="s">
        <v>94</v>
      </c>
      <c r="C89" s="27"/>
      <c r="D89" s="26"/>
      <c r="E89" s="26"/>
      <c r="F89" s="26"/>
      <c r="G89" s="28"/>
    </row>
    <row r="90" spans="1:7" ht="20.100000000000001" customHeight="1" x14ac:dyDescent="0.25">
      <c r="A90" s="25" t="s">
        <v>70</v>
      </c>
      <c r="B90" s="26" t="s">
        <v>94</v>
      </c>
      <c r="C90" s="27"/>
      <c r="D90" s="26"/>
      <c r="E90" s="26"/>
      <c r="F90" s="26"/>
      <c r="G90" s="28"/>
    </row>
    <row r="91" spans="1:7" ht="20.100000000000001" customHeight="1" x14ac:dyDescent="0.25">
      <c r="A91" s="25" t="s">
        <v>71</v>
      </c>
      <c r="B91" s="26" t="s">
        <v>94</v>
      </c>
      <c r="C91" s="27"/>
      <c r="D91" s="26"/>
      <c r="E91" s="26"/>
      <c r="F91" s="26"/>
      <c r="G91" s="28"/>
    </row>
    <row r="92" spans="1:7" ht="20.100000000000001" customHeight="1" x14ac:dyDescent="0.25">
      <c r="A92" s="25" t="s">
        <v>72</v>
      </c>
      <c r="B92" s="26" t="s">
        <v>94</v>
      </c>
      <c r="C92" s="27"/>
      <c r="D92" s="26"/>
      <c r="E92" s="26"/>
      <c r="F92" s="26"/>
      <c r="G92" s="28"/>
    </row>
    <row r="93" spans="1:7" ht="20.100000000000001" customHeight="1" x14ac:dyDescent="0.25">
      <c r="A93" s="25" t="s">
        <v>73</v>
      </c>
      <c r="B93" s="26" t="s">
        <v>94</v>
      </c>
      <c r="C93" s="27"/>
      <c r="D93" s="26"/>
      <c r="E93" s="26"/>
      <c r="F93" s="26"/>
      <c r="G93" s="28"/>
    </row>
    <row r="94" spans="1:7" ht="20.100000000000001" customHeight="1" x14ac:dyDescent="0.25">
      <c r="A94" s="25" t="s">
        <v>74</v>
      </c>
      <c r="B94" s="26" t="s">
        <v>94</v>
      </c>
      <c r="C94" s="27"/>
      <c r="D94" s="26"/>
      <c r="E94" s="26"/>
      <c r="F94" s="26"/>
      <c r="G94" s="28"/>
    </row>
    <row r="95" spans="1:7" ht="20.100000000000001" customHeight="1" x14ac:dyDescent="0.25"/>
    <row r="96" spans="1:7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</sheetData>
  <mergeCells count="2">
    <mergeCell ref="A1:F1"/>
    <mergeCell ref="A48:G48"/>
  </mergeCells>
  <pageMargins left="0.7" right="0.7" top="0.75" bottom="0.75" header="0.3" footer="0.3"/>
  <pageSetup scale="78" fitToHeight="0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pageSetUpPr fitToPage="1"/>
  </sheetPr>
  <dimension ref="A1:M34"/>
  <sheetViews>
    <sheetView topLeftCell="A10" zoomScale="62" zoomScaleNormal="62" workbookViewId="0">
      <selection activeCell="K33" sqref="K33"/>
    </sheetView>
  </sheetViews>
  <sheetFormatPr baseColWidth="10" defaultRowHeight="15" x14ac:dyDescent="0.25"/>
  <cols>
    <col min="1" max="1" width="57.42578125" customWidth="1"/>
    <col min="8" max="8" width="38.85546875" customWidth="1"/>
    <col min="9" max="9" width="15.85546875" customWidth="1"/>
    <col min="10" max="10" width="18" customWidth="1"/>
    <col min="11" max="11" width="52.5703125" customWidth="1"/>
    <col min="12" max="12" width="34.5703125" customWidth="1"/>
    <col min="13" max="13" width="23.140625" customWidth="1"/>
  </cols>
  <sheetData>
    <row r="1" spans="1:13" ht="73.5" customHeight="1" x14ac:dyDescent="0.25">
      <c r="A1" s="1" t="s">
        <v>721</v>
      </c>
      <c r="B1" s="1"/>
      <c r="C1" s="1"/>
      <c r="D1" s="1"/>
      <c r="E1" s="1"/>
      <c r="G1" s="2" t="s">
        <v>722</v>
      </c>
      <c r="H1" s="2"/>
      <c r="I1" s="2"/>
      <c r="J1" s="2"/>
      <c r="K1" s="2"/>
      <c r="L1" s="3" t="s">
        <v>723</v>
      </c>
    </row>
    <row r="2" spans="1:13" ht="15.75" customHeight="1" x14ac:dyDescent="0.4">
      <c r="A2" s="1"/>
      <c r="B2" s="1"/>
      <c r="C2" s="1"/>
      <c r="D2" s="1"/>
      <c r="E2" s="1"/>
      <c r="G2" s="4" t="s">
        <v>98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76" t="s">
        <v>10</v>
      </c>
      <c r="H4" s="25" t="s">
        <v>724</v>
      </c>
      <c r="I4" s="77" t="s">
        <v>725</v>
      </c>
      <c r="J4" s="25" t="s">
        <v>726</v>
      </c>
      <c r="K4" s="78" t="s">
        <v>727</v>
      </c>
      <c r="L4" s="25" t="s">
        <v>728</v>
      </c>
    </row>
    <row r="5" spans="1:13" ht="30" customHeight="1" x14ac:dyDescent="0.25">
      <c r="G5" s="76" t="s">
        <v>16</v>
      </c>
      <c r="H5" s="25" t="s">
        <v>729</v>
      </c>
      <c r="I5" s="77" t="s">
        <v>730</v>
      </c>
      <c r="J5" s="25" t="s">
        <v>731</v>
      </c>
      <c r="K5" s="78" t="s">
        <v>727</v>
      </c>
      <c r="L5" s="25" t="s">
        <v>728</v>
      </c>
    </row>
    <row r="6" spans="1:13" ht="30" customHeight="1" x14ac:dyDescent="0.25">
      <c r="G6" s="76" t="s">
        <v>18</v>
      </c>
      <c r="H6" s="25" t="s">
        <v>732</v>
      </c>
      <c r="I6" s="25" t="s">
        <v>733</v>
      </c>
      <c r="J6" s="25" t="s">
        <v>734</v>
      </c>
      <c r="K6" s="78" t="s">
        <v>735</v>
      </c>
      <c r="L6" s="25" t="s">
        <v>25</v>
      </c>
    </row>
    <row r="7" spans="1:13" ht="30" customHeight="1" x14ac:dyDescent="0.25">
      <c r="G7" s="76" t="s">
        <v>19</v>
      </c>
      <c r="H7" s="25" t="s">
        <v>736</v>
      </c>
      <c r="I7" s="25" t="s">
        <v>737</v>
      </c>
      <c r="J7" s="25" t="s">
        <v>738</v>
      </c>
      <c r="K7" s="78" t="s">
        <v>681</v>
      </c>
      <c r="L7" s="25" t="s">
        <v>417</v>
      </c>
    </row>
    <row r="8" spans="1:13" ht="30" customHeight="1" x14ac:dyDescent="0.25">
      <c r="G8" s="76" t="s">
        <v>20</v>
      </c>
      <c r="H8" s="25" t="s">
        <v>739</v>
      </c>
      <c r="I8" s="77" t="s">
        <v>740</v>
      </c>
      <c r="J8" s="25" t="s">
        <v>741</v>
      </c>
      <c r="K8" s="78" t="s">
        <v>742</v>
      </c>
      <c r="L8" s="25" t="s">
        <v>15</v>
      </c>
    </row>
    <row r="9" spans="1:13" ht="30" customHeight="1" x14ac:dyDescent="0.25">
      <c r="G9" s="76" t="s">
        <v>26</v>
      </c>
      <c r="H9" s="25" t="s">
        <v>743</v>
      </c>
      <c r="I9" s="77" t="s">
        <v>744</v>
      </c>
      <c r="J9" s="25" t="s">
        <v>745</v>
      </c>
      <c r="K9" s="78" t="s">
        <v>746</v>
      </c>
      <c r="L9" s="25" t="s">
        <v>15</v>
      </c>
      <c r="M9" s="13"/>
    </row>
    <row r="10" spans="1:13" ht="30" customHeight="1" x14ac:dyDescent="0.25">
      <c r="G10" s="76" t="s">
        <v>29</v>
      </c>
      <c r="H10" s="25" t="s">
        <v>747</v>
      </c>
      <c r="I10" s="77" t="s">
        <v>748</v>
      </c>
      <c r="J10" s="25" t="s">
        <v>17</v>
      </c>
      <c r="K10" s="78" t="s">
        <v>746</v>
      </c>
      <c r="L10" s="25" t="s">
        <v>15</v>
      </c>
      <c r="M10" s="13"/>
    </row>
    <row r="11" spans="1:13" ht="30" customHeight="1" x14ac:dyDescent="0.25">
      <c r="G11" s="76" t="s">
        <v>30</v>
      </c>
      <c r="H11" s="25"/>
      <c r="I11" s="77"/>
      <c r="J11" s="25"/>
      <c r="K11" s="78"/>
      <c r="L11" s="25"/>
      <c r="M11" s="13"/>
    </row>
    <row r="12" spans="1:13" ht="30" customHeight="1" x14ac:dyDescent="0.25">
      <c r="G12" s="76" t="s">
        <v>35</v>
      </c>
      <c r="H12" s="25" t="s">
        <v>749</v>
      </c>
      <c r="I12" s="77" t="s">
        <v>750</v>
      </c>
      <c r="J12" s="25" t="s">
        <v>751</v>
      </c>
      <c r="K12" s="78" t="s">
        <v>752</v>
      </c>
      <c r="L12" s="25" t="s">
        <v>25</v>
      </c>
      <c r="M12" s="13"/>
    </row>
    <row r="13" spans="1:13" ht="30" customHeight="1" x14ac:dyDescent="0.25">
      <c r="G13" s="76" t="s">
        <v>36</v>
      </c>
      <c r="H13" s="25" t="s">
        <v>753</v>
      </c>
      <c r="I13" s="77" t="s">
        <v>754</v>
      </c>
      <c r="J13" s="25" t="s">
        <v>755</v>
      </c>
      <c r="K13" s="78" t="s">
        <v>752</v>
      </c>
      <c r="L13" s="25" t="s">
        <v>25</v>
      </c>
      <c r="M13" s="13"/>
    </row>
    <row r="14" spans="1:13" ht="30" customHeight="1" x14ac:dyDescent="0.25">
      <c r="G14" s="76" t="s">
        <v>37</v>
      </c>
      <c r="H14" s="25" t="s">
        <v>756</v>
      </c>
      <c r="I14" s="77" t="s">
        <v>757</v>
      </c>
      <c r="J14" s="25" t="s">
        <v>758</v>
      </c>
      <c r="K14" s="78" t="s">
        <v>752</v>
      </c>
      <c r="L14" s="25" t="s">
        <v>25</v>
      </c>
      <c r="M14" s="13"/>
    </row>
    <row r="15" spans="1:13" ht="30" customHeight="1" x14ac:dyDescent="0.25">
      <c r="G15" s="76" t="s">
        <v>42</v>
      </c>
      <c r="H15" s="25" t="s">
        <v>759</v>
      </c>
      <c r="I15" s="77" t="s">
        <v>760</v>
      </c>
      <c r="J15" s="25" t="s">
        <v>761</v>
      </c>
      <c r="K15" s="78" t="s">
        <v>752</v>
      </c>
      <c r="L15" s="25" t="s">
        <v>25</v>
      </c>
      <c r="M15" s="13"/>
    </row>
    <row r="16" spans="1:13" ht="30" customHeight="1" x14ac:dyDescent="0.25">
      <c r="G16" s="76" t="s">
        <v>46</v>
      </c>
      <c r="H16" s="25" t="s">
        <v>762</v>
      </c>
      <c r="I16" s="77" t="s">
        <v>763</v>
      </c>
      <c r="J16" s="25" t="s">
        <v>764</v>
      </c>
      <c r="K16" s="78" t="s">
        <v>765</v>
      </c>
      <c r="L16" s="25" t="s">
        <v>25</v>
      </c>
      <c r="M16" s="13"/>
    </row>
    <row r="17" spans="7:13" ht="30" customHeight="1" x14ac:dyDescent="0.25">
      <c r="G17" s="76" t="s">
        <v>47</v>
      </c>
      <c r="H17" s="25" t="s">
        <v>766</v>
      </c>
      <c r="I17" s="77" t="s">
        <v>17</v>
      </c>
      <c r="J17" s="25" t="s">
        <v>17</v>
      </c>
      <c r="K17" s="78" t="s">
        <v>765</v>
      </c>
      <c r="L17" s="25" t="s">
        <v>25</v>
      </c>
      <c r="M17" s="13"/>
    </row>
    <row r="18" spans="7:13" ht="30" customHeight="1" x14ac:dyDescent="0.25">
      <c r="G18" s="76" t="s">
        <v>48</v>
      </c>
      <c r="H18" s="25" t="s">
        <v>767</v>
      </c>
      <c r="I18" s="25" t="s">
        <v>768</v>
      </c>
      <c r="J18" s="25" t="s">
        <v>769</v>
      </c>
      <c r="K18" s="78" t="s">
        <v>681</v>
      </c>
      <c r="L18" s="25" t="s">
        <v>417</v>
      </c>
      <c r="M18" s="13"/>
    </row>
    <row r="19" spans="7:13" ht="30" customHeight="1" x14ac:dyDescent="0.25">
      <c r="G19" s="76" t="s">
        <v>49</v>
      </c>
      <c r="H19" s="25" t="s">
        <v>770</v>
      </c>
      <c r="I19" s="25" t="s">
        <v>771</v>
      </c>
      <c r="J19" s="25" t="s">
        <v>17</v>
      </c>
      <c r="K19" s="78" t="s">
        <v>681</v>
      </c>
      <c r="L19" s="25" t="s">
        <v>417</v>
      </c>
      <c r="M19" s="13"/>
    </row>
    <row r="20" spans="7:13" ht="30" customHeight="1" x14ac:dyDescent="0.25">
      <c r="G20" s="76" t="s">
        <v>50</v>
      </c>
      <c r="H20" s="25" t="s">
        <v>772</v>
      </c>
      <c r="I20" s="77" t="s">
        <v>773</v>
      </c>
      <c r="J20" s="25" t="s">
        <v>774</v>
      </c>
      <c r="K20" s="78" t="s">
        <v>775</v>
      </c>
      <c r="L20" s="25" t="s">
        <v>776</v>
      </c>
      <c r="M20" s="13"/>
    </row>
    <row r="21" spans="7:13" ht="30" customHeight="1" x14ac:dyDescent="0.25">
      <c r="G21" s="76" t="s">
        <v>54</v>
      </c>
      <c r="H21" s="25" t="s">
        <v>777</v>
      </c>
      <c r="I21" s="77" t="s">
        <v>778</v>
      </c>
      <c r="J21" s="25" t="s">
        <v>779</v>
      </c>
      <c r="K21" s="78" t="s">
        <v>775</v>
      </c>
      <c r="L21" s="25" t="s">
        <v>776</v>
      </c>
      <c r="M21" s="13"/>
    </row>
    <row r="22" spans="7:13" ht="30" customHeight="1" x14ac:dyDescent="0.25">
      <c r="G22" s="76" t="s">
        <v>57</v>
      </c>
      <c r="H22" s="25" t="s">
        <v>780</v>
      </c>
      <c r="I22" s="25" t="s">
        <v>781</v>
      </c>
      <c r="J22" s="25" t="s">
        <v>782</v>
      </c>
      <c r="K22" s="78" t="s">
        <v>783</v>
      </c>
      <c r="L22" s="25" t="s">
        <v>25</v>
      </c>
      <c r="M22" s="13"/>
    </row>
    <row r="23" spans="7:13" ht="30" customHeight="1" x14ac:dyDescent="0.25">
      <c r="G23" s="76" t="s">
        <v>61</v>
      </c>
      <c r="H23" s="25" t="s">
        <v>784</v>
      </c>
      <c r="I23" s="25" t="s">
        <v>17</v>
      </c>
      <c r="J23" s="25" t="s">
        <v>785</v>
      </c>
      <c r="K23" s="78" t="s">
        <v>783</v>
      </c>
      <c r="L23" s="25" t="s">
        <v>25</v>
      </c>
      <c r="M23" s="13"/>
    </row>
    <row r="24" spans="7:13" ht="30" customHeight="1" x14ac:dyDescent="0.25">
      <c r="G24" s="76" t="s">
        <v>63</v>
      </c>
      <c r="H24" s="25" t="s">
        <v>786</v>
      </c>
      <c r="I24" s="25" t="s">
        <v>17</v>
      </c>
      <c r="J24" s="25" t="s">
        <v>787</v>
      </c>
      <c r="K24" s="78" t="s">
        <v>783</v>
      </c>
      <c r="L24" s="25" t="s">
        <v>25</v>
      </c>
      <c r="M24" s="13"/>
    </row>
    <row r="25" spans="7:13" ht="30" customHeight="1" x14ac:dyDescent="0.25">
      <c r="G25" s="76" t="s">
        <v>64</v>
      </c>
      <c r="H25" s="25" t="s">
        <v>788</v>
      </c>
      <c r="I25" s="25" t="s">
        <v>17</v>
      </c>
      <c r="J25" s="25" t="s">
        <v>789</v>
      </c>
      <c r="K25" s="78" t="s">
        <v>783</v>
      </c>
      <c r="L25" s="25" t="s">
        <v>25</v>
      </c>
      <c r="M25" s="13"/>
    </row>
    <row r="26" spans="7:13" ht="30" customHeight="1" x14ac:dyDescent="0.25">
      <c r="G26" s="76" t="s">
        <v>65</v>
      </c>
      <c r="H26" s="25" t="s">
        <v>790</v>
      </c>
      <c r="I26" s="25" t="s">
        <v>791</v>
      </c>
      <c r="J26" s="25" t="s">
        <v>792</v>
      </c>
      <c r="K26" s="78" t="s">
        <v>793</v>
      </c>
      <c r="L26" s="25" t="s">
        <v>25</v>
      </c>
    </row>
    <row r="27" spans="7:13" ht="30" customHeight="1" x14ac:dyDescent="0.25">
      <c r="G27" s="76" t="s">
        <v>67</v>
      </c>
      <c r="H27" s="25" t="s">
        <v>794</v>
      </c>
      <c r="I27" s="25" t="s">
        <v>795</v>
      </c>
      <c r="J27" s="25" t="s">
        <v>17</v>
      </c>
      <c r="K27" s="78" t="s">
        <v>793</v>
      </c>
      <c r="L27" s="25" t="s">
        <v>25</v>
      </c>
    </row>
    <row r="28" spans="7:13" ht="30" customHeight="1" x14ac:dyDescent="0.25">
      <c r="G28" s="76" t="s">
        <v>68</v>
      </c>
      <c r="H28" s="25" t="s">
        <v>796</v>
      </c>
      <c r="I28" s="25" t="s">
        <v>797</v>
      </c>
      <c r="J28" s="25" t="s">
        <v>798</v>
      </c>
      <c r="K28" s="78" t="s">
        <v>799</v>
      </c>
      <c r="L28" s="25" t="s">
        <v>25</v>
      </c>
    </row>
    <row r="29" spans="7:13" ht="30" customHeight="1" x14ac:dyDescent="0.25">
      <c r="G29" s="76" t="s">
        <v>69</v>
      </c>
      <c r="H29" s="25" t="s">
        <v>800</v>
      </c>
      <c r="I29" s="25" t="s">
        <v>801</v>
      </c>
      <c r="J29" s="25" t="s">
        <v>802</v>
      </c>
      <c r="K29" s="78" t="s">
        <v>799</v>
      </c>
      <c r="L29" s="25" t="s">
        <v>25</v>
      </c>
    </row>
    <row r="30" spans="7:13" ht="30" customHeight="1" x14ac:dyDescent="0.25">
      <c r="G30" s="76" t="s">
        <v>70</v>
      </c>
      <c r="H30" s="25" t="s">
        <v>803</v>
      </c>
      <c r="I30" s="77" t="s">
        <v>804</v>
      </c>
      <c r="J30" s="25" t="s">
        <v>805</v>
      </c>
      <c r="K30" s="78" t="s">
        <v>799</v>
      </c>
      <c r="L30" s="25" t="s">
        <v>776</v>
      </c>
    </row>
    <row r="31" spans="7:13" ht="30" customHeight="1" x14ac:dyDescent="0.25">
      <c r="G31" s="76" t="s">
        <v>71</v>
      </c>
      <c r="H31" s="25"/>
      <c r="I31" s="25"/>
      <c r="J31" s="25"/>
      <c r="K31" s="78"/>
      <c r="L31" s="25"/>
    </row>
    <row r="32" spans="7:13" ht="30" customHeight="1" x14ac:dyDescent="0.25">
      <c r="G32" s="76" t="s">
        <v>72</v>
      </c>
      <c r="H32" s="25"/>
      <c r="I32" s="77"/>
      <c r="J32" s="25"/>
      <c r="K32" s="78"/>
      <c r="L32" s="25"/>
    </row>
    <row r="33" spans="7:12" ht="30" customHeight="1" x14ac:dyDescent="0.25">
      <c r="G33" s="76" t="s">
        <v>73</v>
      </c>
      <c r="H33" s="25" t="s">
        <v>806</v>
      </c>
      <c r="I33" s="77" t="s">
        <v>807</v>
      </c>
      <c r="J33" s="25" t="s">
        <v>808</v>
      </c>
      <c r="K33" s="78" t="s">
        <v>809</v>
      </c>
      <c r="L33" s="25" t="s">
        <v>15</v>
      </c>
    </row>
    <row r="34" spans="7:12" ht="30" customHeight="1" x14ac:dyDescent="0.25">
      <c r="G34" s="76" t="s">
        <v>74</v>
      </c>
      <c r="H34" s="25" t="s">
        <v>810</v>
      </c>
      <c r="I34" s="77" t="s">
        <v>811</v>
      </c>
      <c r="J34" s="25" t="s">
        <v>812</v>
      </c>
      <c r="K34" s="78" t="s">
        <v>809</v>
      </c>
      <c r="L34" s="25" t="s">
        <v>15</v>
      </c>
    </row>
  </sheetData>
  <mergeCells count="3">
    <mergeCell ref="A1:E4"/>
    <mergeCell ref="G1:K1"/>
    <mergeCell ref="G2:K2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>
    <pageSetUpPr fitToPage="1"/>
  </sheetPr>
  <dimension ref="A1:S163"/>
  <sheetViews>
    <sheetView topLeftCell="A25" zoomScale="73" zoomScaleNormal="73" workbookViewId="0">
      <selection activeCell="D35" sqref="D35"/>
    </sheetView>
  </sheetViews>
  <sheetFormatPr baseColWidth="10" defaultRowHeight="15" x14ac:dyDescent="0.25"/>
  <cols>
    <col min="2" max="2" width="34" customWidth="1"/>
    <col min="3" max="3" width="16.140625" customWidth="1"/>
    <col min="4" max="4" width="17.5703125" customWidth="1"/>
    <col min="5" max="5" width="17.85546875" customWidth="1"/>
    <col min="6" max="6" width="23.28515625" customWidth="1"/>
    <col min="7" max="7" width="23" style="37" customWidth="1"/>
    <col min="13" max="13" width="9.85546875" customWidth="1"/>
    <col min="14" max="14" width="27.42578125" customWidth="1"/>
    <col min="15" max="15" width="34.140625" customWidth="1"/>
    <col min="17" max="17" width="11.5703125" customWidth="1"/>
    <col min="18" max="18" width="24.140625" customWidth="1"/>
    <col min="19" max="19" width="34.140625" customWidth="1"/>
  </cols>
  <sheetData>
    <row r="1" spans="1:19" ht="38.25" customHeight="1" x14ac:dyDescent="0.3">
      <c r="A1" s="14" t="s">
        <v>813</v>
      </c>
      <c r="B1" s="14"/>
      <c r="C1" s="14"/>
      <c r="D1" s="14"/>
      <c r="E1" s="14"/>
      <c r="F1" s="14"/>
      <c r="M1" s="57" t="s">
        <v>433</v>
      </c>
      <c r="N1" s="57"/>
      <c r="O1" s="57"/>
      <c r="P1" s="58"/>
      <c r="Q1" s="57" t="s">
        <v>433</v>
      </c>
      <c r="R1" s="57"/>
      <c r="S1" s="57"/>
    </row>
    <row r="2" spans="1:19" x14ac:dyDescent="0.25">
      <c r="M2" s="58"/>
      <c r="N2" s="58"/>
      <c r="O2" s="58"/>
      <c r="P2" s="58"/>
      <c r="Q2" s="58"/>
      <c r="R2" s="58"/>
      <c r="S2" s="58"/>
    </row>
    <row r="3" spans="1:19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317</v>
      </c>
      <c r="G3" s="38"/>
      <c r="H3" s="17"/>
      <c r="M3" s="59" t="s">
        <v>4</v>
      </c>
      <c r="N3" s="59" t="s">
        <v>434</v>
      </c>
      <c r="O3" s="59" t="s">
        <v>435</v>
      </c>
      <c r="P3" s="58"/>
      <c r="Q3" s="59" t="s">
        <v>4</v>
      </c>
      <c r="R3" s="59" t="s">
        <v>434</v>
      </c>
      <c r="S3" s="59" t="s">
        <v>435</v>
      </c>
    </row>
    <row r="4" spans="1:19" ht="20.100000000000001" customHeight="1" x14ac:dyDescent="0.25">
      <c r="A4" s="8" t="s">
        <v>10</v>
      </c>
      <c r="B4" s="18" t="str">
        <f>'[1]CHORONI (22-08)'!H4</f>
        <v>YOHANNY LINAREZ</v>
      </c>
      <c r="C4" s="19">
        <v>85</v>
      </c>
      <c r="D4" s="19">
        <v>85</v>
      </c>
      <c r="E4" s="20">
        <f t="shared" ref="E4:E34" si="0">C4-D4</f>
        <v>0</v>
      </c>
      <c r="F4" s="21"/>
      <c r="M4" s="58"/>
      <c r="N4" s="58"/>
      <c r="O4" s="58"/>
      <c r="P4" s="58"/>
      <c r="Q4" s="58"/>
      <c r="R4" s="58"/>
      <c r="S4" s="58"/>
    </row>
    <row r="5" spans="1:19" ht="20.100000000000001" customHeight="1" x14ac:dyDescent="0.25">
      <c r="A5" s="8" t="s">
        <v>16</v>
      </c>
      <c r="B5" s="18" t="str">
        <f>'[1]CHORONI (22-08)'!H5</f>
        <v>JAIMAR MARCHAN</v>
      </c>
      <c r="C5" s="19">
        <v>85</v>
      </c>
      <c r="D5" s="19">
        <v>85</v>
      </c>
      <c r="E5" s="20">
        <f t="shared" si="0"/>
        <v>0</v>
      </c>
      <c r="F5" s="21"/>
      <c r="M5" s="7" t="s">
        <v>57</v>
      </c>
      <c r="N5" s="8" t="s">
        <v>780</v>
      </c>
      <c r="O5" s="79" t="s">
        <v>814</v>
      </c>
      <c r="P5" s="58"/>
      <c r="Q5" s="7" t="s">
        <v>18</v>
      </c>
      <c r="R5" s="8" t="s">
        <v>732</v>
      </c>
      <c r="S5" s="61" t="s">
        <v>815</v>
      </c>
    </row>
    <row r="6" spans="1:19" ht="20.100000000000001" customHeight="1" x14ac:dyDescent="0.25">
      <c r="A6" s="8" t="s">
        <v>18</v>
      </c>
      <c r="B6" s="18" t="str">
        <f>'[1]CHORONI (22-08)'!H6</f>
        <v>RAIZA COLMENAREZ</v>
      </c>
      <c r="C6" s="19">
        <v>85</v>
      </c>
      <c r="D6" s="19">
        <v>85</v>
      </c>
      <c r="E6" s="20">
        <f t="shared" si="0"/>
        <v>0</v>
      </c>
      <c r="F6" s="21"/>
      <c r="M6" s="7" t="s">
        <v>61</v>
      </c>
      <c r="N6" s="8" t="s">
        <v>784</v>
      </c>
      <c r="O6" s="79"/>
      <c r="P6" s="58"/>
      <c r="Q6" s="7" t="s">
        <v>46</v>
      </c>
      <c r="R6" s="8" t="s">
        <v>762</v>
      </c>
      <c r="S6" s="61"/>
    </row>
    <row r="7" spans="1:19" ht="20.100000000000001" customHeight="1" x14ac:dyDescent="0.25">
      <c r="A7" s="8" t="s">
        <v>19</v>
      </c>
      <c r="B7" s="18" t="str">
        <f>'[1]CHORONI (22-08)'!H7</f>
        <v>YASMELY TORRES</v>
      </c>
      <c r="C7" s="19">
        <v>85</v>
      </c>
      <c r="D7" s="19">
        <v>85</v>
      </c>
      <c r="E7" s="20">
        <f t="shared" si="0"/>
        <v>0</v>
      </c>
      <c r="F7" s="21"/>
      <c r="M7" s="58"/>
      <c r="N7" s="58"/>
      <c r="O7" s="58"/>
      <c r="P7" s="58"/>
      <c r="Q7" s="7" t="s">
        <v>47</v>
      </c>
      <c r="R7" s="8" t="s">
        <v>766</v>
      </c>
      <c r="S7" s="61"/>
    </row>
    <row r="8" spans="1:19" ht="20.100000000000001" customHeight="1" x14ac:dyDescent="0.25">
      <c r="A8" s="8" t="s">
        <v>20</v>
      </c>
      <c r="B8" s="18" t="str">
        <f>'[1]CHORONI (22-08)'!H8</f>
        <v>NUVIA SALCEDO</v>
      </c>
      <c r="C8" s="19">
        <v>85</v>
      </c>
      <c r="D8" s="19">
        <v>85</v>
      </c>
      <c r="E8" s="20">
        <f t="shared" si="0"/>
        <v>0</v>
      </c>
      <c r="F8" s="21"/>
      <c r="M8" s="58"/>
      <c r="N8" s="58"/>
      <c r="O8" s="58"/>
      <c r="P8" s="58"/>
      <c r="Q8" s="58"/>
      <c r="R8" s="58"/>
      <c r="S8" s="58"/>
    </row>
    <row r="9" spans="1:19" ht="20.100000000000001" customHeight="1" x14ac:dyDescent="0.25">
      <c r="A9" s="8" t="s">
        <v>26</v>
      </c>
      <c r="B9" s="18" t="str">
        <f>'[1]CHORONI (22-08)'!H9</f>
        <v>CELESTE AGUILAR</v>
      </c>
      <c r="C9" s="19">
        <v>85</v>
      </c>
      <c r="D9" s="19">
        <v>85</v>
      </c>
      <c r="E9" s="20">
        <f t="shared" si="0"/>
        <v>0</v>
      </c>
      <c r="F9" s="21"/>
      <c r="M9" s="7" t="s">
        <v>63</v>
      </c>
      <c r="N9" s="8" t="s">
        <v>786</v>
      </c>
      <c r="O9" s="79" t="s">
        <v>814</v>
      </c>
      <c r="P9" s="58"/>
      <c r="Q9" s="58"/>
      <c r="R9" s="58"/>
      <c r="S9" s="58"/>
    </row>
    <row r="10" spans="1:19" ht="20.100000000000001" customHeight="1" x14ac:dyDescent="0.25">
      <c r="A10" s="8" t="s">
        <v>29</v>
      </c>
      <c r="B10" s="18" t="str">
        <f>'[1]CHORONI (22-08)'!H10</f>
        <v>EMILIANO CORDERO</v>
      </c>
      <c r="C10" s="19">
        <v>85</v>
      </c>
      <c r="D10" s="19">
        <v>85</v>
      </c>
      <c r="E10" s="20">
        <f t="shared" si="0"/>
        <v>0</v>
      </c>
      <c r="F10" s="21"/>
      <c r="M10" s="7"/>
      <c r="N10" s="8"/>
      <c r="O10" s="79"/>
      <c r="P10" s="58"/>
      <c r="Q10" s="7" t="s">
        <v>20</v>
      </c>
      <c r="R10" s="8" t="s">
        <v>739</v>
      </c>
      <c r="S10" s="61" t="s">
        <v>815</v>
      </c>
    </row>
    <row r="11" spans="1:19" ht="20.100000000000001" customHeight="1" x14ac:dyDescent="0.25">
      <c r="A11" s="8" t="s">
        <v>30</v>
      </c>
      <c r="B11" s="18">
        <f>'[1]CHORONI (22-08)'!H11</f>
        <v>0</v>
      </c>
      <c r="C11" s="19"/>
      <c r="D11" s="19"/>
      <c r="E11" s="20">
        <f t="shared" si="0"/>
        <v>0</v>
      </c>
      <c r="F11" s="21"/>
      <c r="M11" s="58"/>
      <c r="N11" s="58"/>
      <c r="O11" s="58"/>
      <c r="P11" s="58"/>
      <c r="Q11" s="7" t="s">
        <v>26</v>
      </c>
      <c r="R11" s="8" t="s">
        <v>743</v>
      </c>
      <c r="S11" s="61"/>
    </row>
    <row r="12" spans="1:19" ht="20.100000000000001" customHeight="1" x14ac:dyDescent="0.25">
      <c r="A12" s="8" t="s">
        <v>35</v>
      </c>
      <c r="B12" s="18" t="str">
        <f>'[1]CHORONI (22-08)'!H12</f>
        <v>VALENTINA ANZOLA</v>
      </c>
      <c r="C12" s="19">
        <v>85</v>
      </c>
      <c r="D12" s="19">
        <v>85</v>
      </c>
      <c r="E12" s="20">
        <f t="shared" si="0"/>
        <v>0</v>
      </c>
      <c r="F12" s="21"/>
      <c r="M12" s="58"/>
      <c r="N12" s="58"/>
      <c r="O12" s="58"/>
      <c r="P12" s="58"/>
      <c r="Q12" s="7" t="s">
        <v>29</v>
      </c>
      <c r="R12" s="8" t="s">
        <v>747</v>
      </c>
      <c r="S12" s="61"/>
    </row>
    <row r="13" spans="1:19" ht="20.100000000000001" customHeight="1" x14ac:dyDescent="0.25">
      <c r="A13" s="8" t="s">
        <v>36</v>
      </c>
      <c r="B13" s="18" t="str">
        <f>'[1]CHORONI (22-08)'!H13</f>
        <v>DARYELIS KIL</v>
      </c>
      <c r="C13" s="19">
        <v>85</v>
      </c>
      <c r="D13" s="19">
        <v>85</v>
      </c>
      <c r="E13" s="20">
        <f t="shared" si="0"/>
        <v>0</v>
      </c>
      <c r="F13" s="21"/>
      <c r="M13" s="7" t="s">
        <v>64</v>
      </c>
      <c r="N13" s="8" t="s">
        <v>788</v>
      </c>
      <c r="O13" s="79" t="s">
        <v>814</v>
      </c>
      <c r="P13" s="58"/>
      <c r="Q13" s="58"/>
      <c r="R13" s="58"/>
      <c r="S13" s="58"/>
    </row>
    <row r="14" spans="1:19" ht="20.100000000000001" customHeight="1" x14ac:dyDescent="0.25">
      <c r="A14" s="8" t="s">
        <v>37</v>
      </c>
      <c r="B14" s="18" t="str">
        <f>'[1]CHORONI (22-08)'!H14</f>
        <v>YALIANY BELZARES</v>
      </c>
      <c r="C14" s="19">
        <v>85</v>
      </c>
      <c r="D14" s="19">
        <v>85</v>
      </c>
      <c r="E14" s="20">
        <f t="shared" si="0"/>
        <v>0</v>
      </c>
      <c r="F14" s="21"/>
      <c r="M14" s="7"/>
      <c r="N14" s="8"/>
      <c r="O14" s="79"/>
      <c r="P14" s="58"/>
      <c r="Q14" s="58"/>
      <c r="R14" s="58"/>
      <c r="S14" s="58"/>
    </row>
    <row r="15" spans="1:19" ht="20.100000000000001" customHeight="1" x14ac:dyDescent="0.25">
      <c r="A15" s="8" t="s">
        <v>42</v>
      </c>
      <c r="B15" s="18" t="str">
        <f>'[1]CHORONI (22-08)'!H15</f>
        <v>YALILE GARCIA</v>
      </c>
      <c r="C15" s="19">
        <v>85</v>
      </c>
      <c r="D15" s="19">
        <v>85</v>
      </c>
      <c r="E15" s="20">
        <f t="shared" si="0"/>
        <v>0</v>
      </c>
      <c r="F15" s="21"/>
      <c r="M15" s="58"/>
      <c r="N15" s="58"/>
      <c r="O15" s="58"/>
      <c r="P15" s="58"/>
      <c r="Q15" s="7" t="s">
        <v>19</v>
      </c>
      <c r="R15" s="8" t="s">
        <v>736</v>
      </c>
      <c r="S15" s="61" t="s">
        <v>815</v>
      </c>
    </row>
    <row r="16" spans="1:19" ht="20.100000000000001" customHeight="1" x14ac:dyDescent="0.25">
      <c r="A16" s="8" t="s">
        <v>46</v>
      </c>
      <c r="B16" s="18" t="str">
        <f>'[1]CHORONI (22-08)'!H16</f>
        <v>LUZDIVER ANDRADES</v>
      </c>
      <c r="C16" s="19">
        <v>85</v>
      </c>
      <c r="D16" s="19">
        <v>85</v>
      </c>
      <c r="E16" s="20">
        <f t="shared" si="0"/>
        <v>0</v>
      </c>
      <c r="F16" s="21"/>
      <c r="M16" s="58"/>
      <c r="N16" s="58"/>
      <c r="O16" s="58"/>
      <c r="P16" s="58"/>
      <c r="Q16" s="7" t="s">
        <v>48</v>
      </c>
      <c r="R16" s="8" t="s">
        <v>767</v>
      </c>
      <c r="S16" s="61"/>
    </row>
    <row r="17" spans="1:19" ht="20.100000000000001" customHeight="1" x14ac:dyDescent="0.25">
      <c r="A17" s="8" t="s">
        <v>47</v>
      </c>
      <c r="B17" s="18" t="str">
        <f>'[1]CHORONI (22-08)'!H17</f>
        <v>ORIANA SANCHEZ</v>
      </c>
      <c r="C17" s="19">
        <v>85</v>
      </c>
      <c r="D17" s="19">
        <v>85</v>
      </c>
      <c r="E17" s="20">
        <f t="shared" si="0"/>
        <v>0</v>
      </c>
      <c r="F17" s="21"/>
      <c r="M17" s="7" t="s">
        <v>65</v>
      </c>
      <c r="N17" s="8" t="s">
        <v>790</v>
      </c>
      <c r="O17" s="79" t="s">
        <v>814</v>
      </c>
      <c r="P17" s="58"/>
      <c r="Q17" s="7" t="s">
        <v>49</v>
      </c>
      <c r="R17" s="8" t="s">
        <v>770</v>
      </c>
      <c r="S17" s="61"/>
    </row>
    <row r="18" spans="1:19" ht="20.100000000000001" customHeight="1" x14ac:dyDescent="0.25">
      <c r="A18" s="8" t="s">
        <v>48</v>
      </c>
      <c r="B18" s="18" t="str">
        <f>'[1]CHORONI (22-08)'!H18</f>
        <v>LORENA PEREZ</v>
      </c>
      <c r="C18" s="19">
        <v>85</v>
      </c>
      <c r="D18" s="19">
        <v>85</v>
      </c>
      <c r="E18" s="20">
        <f t="shared" si="0"/>
        <v>0</v>
      </c>
      <c r="F18" s="21"/>
      <c r="M18" s="7" t="s">
        <v>67</v>
      </c>
      <c r="N18" s="8" t="s">
        <v>794</v>
      </c>
      <c r="O18" s="79"/>
      <c r="P18" s="58"/>
      <c r="Q18" s="58"/>
      <c r="R18" s="58"/>
      <c r="S18" s="58"/>
    </row>
    <row r="19" spans="1:19" ht="20.100000000000001" customHeight="1" x14ac:dyDescent="0.25">
      <c r="A19" s="8" t="s">
        <v>49</v>
      </c>
      <c r="B19" s="18" t="str">
        <f>'[1]CHORONI (22-08)'!H19</f>
        <v>MARIANNY MARTINEZ</v>
      </c>
      <c r="C19" s="19">
        <v>85</v>
      </c>
      <c r="D19" s="19">
        <v>85</v>
      </c>
      <c r="E19" s="20">
        <f t="shared" si="0"/>
        <v>0</v>
      </c>
      <c r="F19" s="21"/>
      <c r="M19" s="58"/>
      <c r="N19" s="58"/>
      <c r="O19" s="58"/>
      <c r="P19" s="58"/>
      <c r="Q19" s="58"/>
      <c r="R19" s="58"/>
      <c r="S19" s="58"/>
    </row>
    <row r="20" spans="1:19" ht="20.100000000000001" customHeight="1" x14ac:dyDescent="0.25">
      <c r="A20" s="8" t="s">
        <v>50</v>
      </c>
      <c r="B20" s="18" t="str">
        <f>'[1]CHORONI (22-08)'!H20</f>
        <v>MARBELYS PASTRAN</v>
      </c>
      <c r="C20" s="19">
        <v>85</v>
      </c>
      <c r="D20" s="19">
        <v>85</v>
      </c>
      <c r="E20" s="20">
        <f t="shared" si="0"/>
        <v>0</v>
      </c>
      <c r="F20" s="21"/>
      <c r="M20" s="58"/>
      <c r="N20" s="58"/>
      <c r="O20" s="58"/>
      <c r="P20" s="58"/>
      <c r="Q20" s="58"/>
      <c r="R20" s="58"/>
      <c r="S20" s="58"/>
    </row>
    <row r="21" spans="1:19" ht="20.100000000000001" customHeight="1" x14ac:dyDescent="0.25">
      <c r="A21" s="8" t="s">
        <v>54</v>
      </c>
      <c r="B21" s="18" t="str">
        <f>'[1]CHORONI (22-08)'!H21</f>
        <v>CESAR PARRA</v>
      </c>
      <c r="C21" s="19">
        <v>85</v>
      </c>
      <c r="D21" s="19">
        <v>85</v>
      </c>
      <c r="E21" s="20">
        <f t="shared" si="0"/>
        <v>0</v>
      </c>
      <c r="F21" s="21"/>
      <c r="M21" s="7" t="s">
        <v>68</v>
      </c>
      <c r="N21" s="8" t="s">
        <v>796</v>
      </c>
      <c r="O21" s="79" t="s">
        <v>814</v>
      </c>
      <c r="P21" s="58"/>
      <c r="Q21" s="7" t="s">
        <v>35</v>
      </c>
      <c r="R21" s="8" t="s">
        <v>749</v>
      </c>
      <c r="S21" s="61" t="s">
        <v>816</v>
      </c>
    </row>
    <row r="22" spans="1:19" ht="20.100000000000001" customHeight="1" x14ac:dyDescent="0.25">
      <c r="A22" s="8" t="s">
        <v>57</v>
      </c>
      <c r="B22" s="18" t="str">
        <f>'[1]CHORONI (22-08)'!H22</f>
        <v>CRISTIBEL GIL</v>
      </c>
      <c r="C22" s="19">
        <v>95</v>
      </c>
      <c r="D22" s="19">
        <v>95</v>
      </c>
      <c r="E22" s="20">
        <f t="shared" si="0"/>
        <v>0</v>
      </c>
      <c r="F22" s="62" t="s">
        <v>436</v>
      </c>
      <c r="M22" s="7" t="s">
        <v>69</v>
      </c>
      <c r="N22" s="8" t="s">
        <v>800</v>
      </c>
      <c r="O22" s="79"/>
      <c r="P22" s="58"/>
      <c r="Q22" s="7" t="s">
        <v>36</v>
      </c>
      <c r="R22" s="8" t="s">
        <v>753</v>
      </c>
      <c r="S22" s="61"/>
    </row>
    <row r="23" spans="1:19" ht="20.100000000000001" customHeight="1" x14ac:dyDescent="0.25">
      <c r="A23" s="8" t="s">
        <v>61</v>
      </c>
      <c r="B23" s="18" t="str">
        <f>'[1]CHORONI (22-08)'!H23</f>
        <v>AMBAR VALLADARES</v>
      </c>
      <c r="C23" s="19">
        <v>95</v>
      </c>
      <c r="D23" s="19">
        <v>95</v>
      </c>
      <c r="E23" s="20">
        <f t="shared" si="0"/>
        <v>0</v>
      </c>
      <c r="F23" s="63"/>
      <c r="M23" s="58"/>
      <c r="N23" s="58"/>
      <c r="O23" s="58"/>
      <c r="P23" s="58"/>
      <c r="Q23" s="7" t="s">
        <v>37</v>
      </c>
      <c r="R23" s="8" t="s">
        <v>756</v>
      </c>
      <c r="S23" s="61"/>
    </row>
    <row r="24" spans="1:19" ht="20.100000000000001" customHeight="1" x14ac:dyDescent="0.25">
      <c r="A24" s="8" t="s">
        <v>63</v>
      </c>
      <c r="B24" s="18" t="str">
        <f>'[1]CHORONI (22-08)'!H24</f>
        <v>JAVIER RODRIGUEZ</v>
      </c>
      <c r="C24" s="19">
        <v>95</v>
      </c>
      <c r="D24" s="19">
        <v>95</v>
      </c>
      <c r="E24" s="20">
        <f t="shared" si="0"/>
        <v>0</v>
      </c>
      <c r="F24" s="62" t="s">
        <v>436</v>
      </c>
      <c r="M24" s="58"/>
      <c r="N24" s="58"/>
      <c r="O24" s="58"/>
      <c r="P24" s="58"/>
      <c r="Q24" s="7" t="s">
        <v>42</v>
      </c>
      <c r="R24" s="8" t="s">
        <v>759</v>
      </c>
      <c r="S24" s="61"/>
    </row>
    <row r="25" spans="1:19" ht="20.100000000000001" customHeight="1" x14ac:dyDescent="0.25">
      <c r="A25" s="8" t="s">
        <v>64</v>
      </c>
      <c r="B25" s="18" t="str">
        <f>'[1]CHORONI (22-08)'!H25</f>
        <v>DIEGO ROA</v>
      </c>
      <c r="C25" s="19">
        <v>95</v>
      </c>
      <c r="D25" s="19">
        <v>95</v>
      </c>
      <c r="E25" s="20">
        <f t="shared" si="0"/>
        <v>0</v>
      </c>
      <c r="F25" s="63"/>
      <c r="M25" s="7" t="s">
        <v>73</v>
      </c>
      <c r="N25" s="8" t="s">
        <v>806</v>
      </c>
      <c r="O25" s="79" t="s">
        <v>814</v>
      </c>
      <c r="P25" s="58"/>
      <c r="Q25" s="58"/>
      <c r="R25" s="58"/>
      <c r="S25" s="58"/>
    </row>
    <row r="26" spans="1:19" ht="20.100000000000001" customHeight="1" x14ac:dyDescent="0.25">
      <c r="A26" s="8" t="s">
        <v>65</v>
      </c>
      <c r="B26" s="18" t="str">
        <f>'[1]CHORONI (22-08)'!H26</f>
        <v>ANA GARCIA</v>
      </c>
      <c r="C26" s="19">
        <v>95</v>
      </c>
      <c r="D26" s="19">
        <v>95</v>
      </c>
      <c r="E26" s="20">
        <f t="shared" si="0"/>
        <v>0</v>
      </c>
      <c r="F26" s="62" t="s">
        <v>436</v>
      </c>
      <c r="M26" s="7" t="s">
        <v>74</v>
      </c>
      <c r="N26" s="8" t="s">
        <v>810</v>
      </c>
      <c r="O26" s="79"/>
      <c r="P26" s="58"/>
      <c r="Q26" s="58"/>
      <c r="R26" s="58"/>
      <c r="S26" s="58"/>
    </row>
    <row r="27" spans="1:19" ht="20.100000000000001" customHeight="1" x14ac:dyDescent="0.25">
      <c r="A27" s="8" t="s">
        <v>67</v>
      </c>
      <c r="B27" s="18" t="str">
        <f>'[1]CHORONI (22-08)'!H27</f>
        <v>EUDY ORAMAS</v>
      </c>
      <c r="C27" s="19">
        <v>95</v>
      </c>
      <c r="D27" s="19">
        <v>95</v>
      </c>
      <c r="E27" s="20">
        <f t="shared" si="0"/>
        <v>0</v>
      </c>
      <c r="F27" s="63"/>
      <c r="M27" s="58"/>
      <c r="N27" s="58"/>
      <c r="O27" s="58"/>
      <c r="P27" s="58"/>
      <c r="Q27" s="58"/>
      <c r="R27" s="58"/>
      <c r="S27" s="58"/>
    </row>
    <row r="28" spans="1:19" ht="20.100000000000001" customHeight="1" x14ac:dyDescent="0.25">
      <c r="A28" s="8" t="s">
        <v>68</v>
      </c>
      <c r="B28" s="18" t="str">
        <f>'[1]CHORONI (22-08)'!H28</f>
        <v>WILMAR RODRIGUEZ</v>
      </c>
      <c r="C28" s="19">
        <v>95</v>
      </c>
      <c r="D28" s="19">
        <v>95</v>
      </c>
      <c r="E28" s="20">
        <f t="shared" si="0"/>
        <v>0</v>
      </c>
      <c r="F28" s="62" t="s">
        <v>436</v>
      </c>
      <c r="M28" s="58"/>
      <c r="N28" s="58"/>
      <c r="O28" s="58"/>
      <c r="P28" s="58"/>
      <c r="Q28" s="7" t="s">
        <v>50</v>
      </c>
      <c r="R28" s="8" t="s">
        <v>772</v>
      </c>
      <c r="S28" s="61" t="s">
        <v>817</v>
      </c>
    </row>
    <row r="29" spans="1:19" ht="20.100000000000001" customHeight="1" x14ac:dyDescent="0.25">
      <c r="A29" s="8" t="s">
        <v>69</v>
      </c>
      <c r="B29" s="18" t="str">
        <f>'[1]CHORONI (22-08)'!H29</f>
        <v>JESUS AGÜERO</v>
      </c>
      <c r="C29" s="19">
        <v>95</v>
      </c>
      <c r="D29" s="19">
        <v>95</v>
      </c>
      <c r="E29" s="20">
        <f t="shared" si="0"/>
        <v>0</v>
      </c>
      <c r="F29" s="63"/>
      <c r="M29" s="7" t="s">
        <v>440</v>
      </c>
      <c r="N29" s="8" t="s">
        <v>443</v>
      </c>
      <c r="O29" s="61" t="s">
        <v>816</v>
      </c>
      <c r="P29" s="58"/>
      <c r="Q29" s="7" t="s">
        <v>54</v>
      </c>
      <c r="R29" s="8" t="s">
        <v>777</v>
      </c>
      <c r="S29" s="61"/>
    </row>
    <row r="30" spans="1:19" ht="20.100000000000001" customHeight="1" x14ac:dyDescent="0.25">
      <c r="A30" s="8" t="s">
        <v>70</v>
      </c>
      <c r="B30" s="18" t="str">
        <f>'[1]CHORONI (22-08)'!H30</f>
        <v>DANIEL AGÜERO</v>
      </c>
      <c r="C30" s="19">
        <v>85</v>
      </c>
      <c r="D30" s="19">
        <v>85</v>
      </c>
      <c r="E30" s="20">
        <f t="shared" si="0"/>
        <v>0</v>
      </c>
      <c r="F30" s="21"/>
      <c r="M30" s="7" t="s">
        <v>440</v>
      </c>
      <c r="N30" s="8" t="s">
        <v>441</v>
      </c>
      <c r="O30" s="61"/>
      <c r="P30" s="58"/>
      <c r="Q30" s="7" t="s">
        <v>10</v>
      </c>
      <c r="R30" s="8" t="s">
        <v>724</v>
      </c>
      <c r="S30" s="61"/>
    </row>
    <row r="31" spans="1:19" ht="20.100000000000001" customHeight="1" x14ac:dyDescent="0.25">
      <c r="A31" s="8" t="s">
        <v>71</v>
      </c>
      <c r="B31" s="18">
        <f>'[1]CHORONI (22-08)'!H31</f>
        <v>0</v>
      </c>
      <c r="C31" s="19"/>
      <c r="D31" s="19"/>
      <c r="E31" s="20">
        <f t="shared" si="0"/>
        <v>0</v>
      </c>
      <c r="F31" s="21"/>
      <c r="M31" s="7" t="s">
        <v>440</v>
      </c>
      <c r="N31" s="8" t="s">
        <v>442</v>
      </c>
      <c r="O31" s="61"/>
      <c r="P31" s="58"/>
      <c r="Q31" s="7" t="s">
        <v>16</v>
      </c>
      <c r="R31" s="8" t="s">
        <v>729</v>
      </c>
      <c r="S31" s="61"/>
    </row>
    <row r="32" spans="1:19" ht="20.100000000000001" customHeight="1" x14ac:dyDescent="0.25">
      <c r="A32" s="8" t="s">
        <v>72</v>
      </c>
      <c r="B32" s="18">
        <f>'[1]CHORONI (22-08)'!H32</f>
        <v>0</v>
      </c>
      <c r="C32" s="19"/>
      <c r="D32" s="19"/>
      <c r="E32" s="20">
        <f t="shared" si="0"/>
        <v>0</v>
      </c>
      <c r="F32" s="21"/>
      <c r="M32" s="7"/>
      <c r="N32" s="8"/>
      <c r="O32" s="61"/>
      <c r="P32" s="58"/>
      <c r="Q32" s="7" t="s">
        <v>70</v>
      </c>
      <c r="R32" s="8" t="s">
        <v>803</v>
      </c>
      <c r="S32" s="61"/>
    </row>
    <row r="33" spans="1:16" ht="20.100000000000001" customHeight="1" x14ac:dyDescent="0.25">
      <c r="A33" s="8" t="s">
        <v>73</v>
      </c>
      <c r="B33" s="18" t="str">
        <f>'[1]CHORONI (22-08)'!H33</f>
        <v>MARCELO DAZA</v>
      </c>
      <c r="C33" s="19">
        <v>95</v>
      </c>
      <c r="D33" s="19">
        <v>95</v>
      </c>
      <c r="E33" s="20">
        <f t="shared" si="0"/>
        <v>0</v>
      </c>
      <c r="F33" s="62" t="s">
        <v>436</v>
      </c>
      <c r="M33" s="58"/>
      <c r="N33" s="58"/>
      <c r="O33" s="58"/>
      <c r="P33" s="58"/>
    </row>
    <row r="34" spans="1:16" ht="20.100000000000001" customHeight="1" x14ac:dyDescent="0.25">
      <c r="A34" s="8" t="s">
        <v>74</v>
      </c>
      <c r="B34" s="18" t="str">
        <f>'[1]CHORONI (22-08)'!H34</f>
        <v>MARIA FERNANDA RENDON</v>
      </c>
      <c r="C34" s="19">
        <v>95</v>
      </c>
      <c r="D34" s="19">
        <v>95</v>
      </c>
      <c r="E34" s="20">
        <f t="shared" si="0"/>
        <v>0</v>
      </c>
      <c r="F34" s="63"/>
      <c r="M34" s="58"/>
      <c r="N34" s="58"/>
      <c r="O34" s="58"/>
      <c r="P34" s="58"/>
    </row>
    <row r="35" spans="1:16" ht="20.100000000000001" customHeight="1" x14ac:dyDescent="0.25">
      <c r="M35" s="58"/>
      <c r="N35" s="58"/>
      <c r="O35" s="58"/>
      <c r="P35" s="58"/>
    </row>
    <row r="36" spans="1:16" ht="20.100000000000001" customHeight="1" x14ac:dyDescent="0.25">
      <c r="B36" s="15" t="s">
        <v>79</v>
      </c>
      <c r="C36" s="22">
        <f>SUM(C4:C34)</f>
        <v>2480</v>
      </c>
      <c r="D36" s="22">
        <f>SUM(D4:D34)</f>
        <v>2480</v>
      </c>
      <c r="E36" s="22">
        <f>SUM(E4:E34)</f>
        <v>0</v>
      </c>
      <c r="F36" s="22">
        <f>SUM(F4:F34)</f>
        <v>0</v>
      </c>
    </row>
    <row r="41" spans="1:16" ht="15.75" customHeight="1" x14ac:dyDescent="0.25"/>
    <row r="48" spans="1:16" ht="29.25" customHeight="1" x14ac:dyDescent="0.45">
      <c r="A48" s="23" t="s">
        <v>80</v>
      </c>
      <c r="B48" s="23"/>
      <c r="C48" s="23"/>
      <c r="D48" s="23"/>
      <c r="E48" s="23"/>
      <c r="F48" s="23"/>
      <c r="G48" s="23"/>
    </row>
    <row r="49" spans="1:8" ht="30" customHeight="1" x14ac:dyDescent="0.25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39" t="s">
        <v>85</v>
      </c>
    </row>
    <row r="50" spans="1:8" ht="20.100000000000001" customHeight="1" x14ac:dyDescent="0.25">
      <c r="A50" s="25" t="s">
        <v>18</v>
      </c>
      <c r="B50" s="26" t="s">
        <v>818</v>
      </c>
      <c r="C50" s="27">
        <v>28276.74</v>
      </c>
      <c r="D50" s="26">
        <v>706.92</v>
      </c>
      <c r="E50" s="26">
        <v>40</v>
      </c>
      <c r="F50" s="26" t="s">
        <v>819</v>
      </c>
      <c r="G50" s="28">
        <v>46196</v>
      </c>
      <c r="H50" s="29"/>
    </row>
    <row r="51" spans="1:8" ht="20.100000000000001" customHeight="1" x14ac:dyDescent="0.25">
      <c r="C51" s="27">
        <v>14148.76</v>
      </c>
      <c r="D51" s="26">
        <v>706.92</v>
      </c>
      <c r="E51" s="26">
        <v>20</v>
      </c>
      <c r="F51" s="26" t="s">
        <v>819</v>
      </c>
      <c r="G51" s="28">
        <v>46197</v>
      </c>
      <c r="H51" s="29"/>
    </row>
    <row r="52" spans="1:8" ht="20.100000000000001" customHeight="1" x14ac:dyDescent="0.25">
      <c r="C52" s="27"/>
      <c r="D52" s="26"/>
      <c r="E52" s="26">
        <v>25</v>
      </c>
      <c r="F52" s="26" t="s">
        <v>710</v>
      </c>
      <c r="G52" s="28">
        <v>46256</v>
      </c>
      <c r="H52" s="32"/>
    </row>
    <row r="53" spans="1:8" ht="20.100000000000001" customHeight="1" x14ac:dyDescent="0.25">
      <c r="H53" s="32"/>
    </row>
    <row r="54" spans="1:8" ht="20.100000000000001" customHeight="1" x14ac:dyDescent="0.25">
      <c r="H54" s="32"/>
    </row>
    <row r="55" spans="1:8" ht="20.100000000000001" customHeight="1" x14ac:dyDescent="0.25">
      <c r="H55" s="30"/>
    </row>
    <row r="56" spans="1:8" ht="20.100000000000001" customHeight="1" x14ac:dyDescent="0.25">
      <c r="A56" s="25" t="s">
        <v>57</v>
      </c>
      <c r="B56" s="26" t="s">
        <v>780</v>
      </c>
      <c r="C56" s="27">
        <v>15249.04</v>
      </c>
      <c r="D56" s="26">
        <v>640.14</v>
      </c>
      <c r="E56" s="26">
        <v>23.75</v>
      </c>
      <c r="F56" s="26" t="s">
        <v>820</v>
      </c>
      <c r="G56" s="28">
        <v>46172</v>
      </c>
      <c r="H56" s="30"/>
    </row>
    <row r="57" spans="1:8" ht="20.100000000000001" customHeight="1" x14ac:dyDescent="0.25">
      <c r="A57" s="25" t="s">
        <v>61</v>
      </c>
      <c r="B57" s="26" t="s">
        <v>780</v>
      </c>
      <c r="C57" s="27">
        <v>15599.79</v>
      </c>
      <c r="D57" s="26">
        <v>654.87</v>
      </c>
      <c r="E57" s="26">
        <v>25</v>
      </c>
      <c r="F57" s="26" t="s">
        <v>821</v>
      </c>
      <c r="G57" s="28">
        <v>46179</v>
      </c>
      <c r="H57" s="32"/>
    </row>
    <row r="58" spans="1:8" ht="20.100000000000001" customHeight="1" x14ac:dyDescent="0.25">
      <c r="A58" s="25" t="s">
        <v>63</v>
      </c>
      <c r="B58" s="26" t="s">
        <v>780</v>
      </c>
      <c r="C58" s="27">
        <v>16371.72</v>
      </c>
      <c r="D58" s="26">
        <v>654.87</v>
      </c>
      <c r="E58" s="26">
        <v>25</v>
      </c>
      <c r="F58" s="26" t="s">
        <v>821</v>
      </c>
      <c r="G58" s="28">
        <v>46180</v>
      </c>
      <c r="H58" s="32"/>
    </row>
    <row r="59" spans="1:8" ht="20.100000000000001" customHeight="1" x14ac:dyDescent="0.25">
      <c r="A59" s="25" t="s">
        <v>64</v>
      </c>
      <c r="B59" s="26" t="s">
        <v>780</v>
      </c>
      <c r="C59" s="27">
        <v>25952</v>
      </c>
      <c r="D59" s="26">
        <v>692.05</v>
      </c>
      <c r="E59" s="26">
        <v>37.5</v>
      </c>
      <c r="F59" s="26" t="s">
        <v>821</v>
      </c>
      <c r="G59" s="28">
        <v>46190</v>
      </c>
      <c r="H59" s="32"/>
    </row>
    <row r="60" spans="1:8" ht="20.100000000000001" customHeight="1" x14ac:dyDescent="0.25">
      <c r="C60" s="27">
        <v>15553.13</v>
      </c>
      <c r="D60" s="26">
        <v>692.05</v>
      </c>
      <c r="E60" s="26">
        <v>24</v>
      </c>
      <c r="F60" s="26" t="s">
        <v>822</v>
      </c>
      <c r="G60" s="28">
        <v>46190</v>
      </c>
      <c r="H60" s="30"/>
    </row>
    <row r="61" spans="1:8" ht="20.100000000000001" customHeight="1" x14ac:dyDescent="0.25">
      <c r="C61" s="27">
        <v>19177.53</v>
      </c>
      <c r="D61" s="26">
        <v>697.36</v>
      </c>
      <c r="E61" s="26">
        <v>27.5</v>
      </c>
      <c r="F61" s="26">
        <v>5594</v>
      </c>
      <c r="G61" s="28">
        <v>46193</v>
      </c>
      <c r="H61" s="30"/>
    </row>
    <row r="62" spans="1:8" ht="20.100000000000001" customHeight="1" x14ac:dyDescent="0.25">
      <c r="H62" s="30"/>
    </row>
    <row r="63" spans="1:8" ht="20.100000000000001" customHeight="1" x14ac:dyDescent="0.25">
      <c r="H63" s="32"/>
    </row>
    <row r="64" spans="1:8" ht="20.100000000000001" customHeight="1" x14ac:dyDescent="0.25">
      <c r="H64" s="32"/>
    </row>
    <row r="65" spans="1:8" ht="20.100000000000001" customHeight="1" x14ac:dyDescent="0.25">
      <c r="C65" s="27">
        <v>12670</v>
      </c>
      <c r="D65" s="26">
        <v>633.48</v>
      </c>
      <c r="E65" s="26">
        <v>20</v>
      </c>
      <c r="F65" s="26" t="s">
        <v>823</v>
      </c>
      <c r="G65" s="28">
        <v>46170</v>
      </c>
      <c r="H65" s="32"/>
    </row>
    <row r="66" spans="1:8" ht="20.100000000000001" customHeight="1" x14ac:dyDescent="0.25">
      <c r="C66" s="27">
        <v>25826.799999999999</v>
      </c>
      <c r="D66" s="26">
        <v>645.67999999999995</v>
      </c>
      <c r="E66" s="26">
        <v>40</v>
      </c>
      <c r="F66" s="26" t="s">
        <v>824</v>
      </c>
      <c r="G66" s="28">
        <v>46174</v>
      </c>
      <c r="H66" s="32"/>
    </row>
    <row r="67" spans="1:8" ht="20.100000000000001" customHeight="1" x14ac:dyDescent="0.25">
      <c r="A67" s="25" t="s">
        <v>68</v>
      </c>
      <c r="B67" s="26" t="s">
        <v>825</v>
      </c>
      <c r="C67" s="27">
        <v>13107.6</v>
      </c>
      <c r="D67" s="26">
        <v>654.87</v>
      </c>
      <c r="E67" s="26">
        <v>20</v>
      </c>
      <c r="F67" s="26" t="s">
        <v>826</v>
      </c>
      <c r="G67" s="28">
        <v>46179</v>
      </c>
      <c r="H67" s="32"/>
    </row>
    <row r="68" spans="1:8" ht="20.100000000000001" customHeight="1" x14ac:dyDescent="0.25">
      <c r="A68" s="25" t="s">
        <v>69</v>
      </c>
      <c r="B68" s="26" t="s">
        <v>825</v>
      </c>
      <c r="C68" s="27">
        <v>25206.2</v>
      </c>
      <c r="D68" s="26">
        <v>671.42</v>
      </c>
      <c r="E68" s="26">
        <v>40</v>
      </c>
      <c r="F68" s="26" t="s">
        <v>827</v>
      </c>
      <c r="G68" s="28">
        <v>46187</v>
      </c>
      <c r="H68" s="32"/>
    </row>
    <row r="69" spans="1:8" ht="20.100000000000001" customHeight="1" x14ac:dyDescent="0.25">
      <c r="C69" s="27">
        <v>13753.8</v>
      </c>
      <c r="D69" s="26">
        <v>687.7</v>
      </c>
      <c r="E69" s="26">
        <v>20</v>
      </c>
      <c r="F69" s="26" t="s">
        <v>828</v>
      </c>
      <c r="G69" s="28">
        <v>46189</v>
      </c>
      <c r="H69" s="32"/>
    </row>
    <row r="70" spans="1:8" ht="20.100000000000001" customHeight="1" x14ac:dyDescent="0.25">
      <c r="C70" s="27">
        <v>35345.5</v>
      </c>
      <c r="D70" s="26">
        <v>706.92</v>
      </c>
      <c r="E70" s="26">
        <v>50</v>
      </c>
      <c r="F70" s="26" t="s">
        <v>829</v>
      </c>
      <c r="G70" s="28">
        <v>46196</v>
      </c>
      <c r="H70" s="32"/>
    </row>
    <row r="71" spans="1:8" ht="20.100000000000001" customHeight="1" x14ac:dyDescent="0.25">
      <c r="H71" s="32"/>
    </row>
    <row r="72" spans="1:8" ht="20.100000000000001" customHeight="1" x14ac:dyDescent="0.25">
      <c r="H72" s="32"/>
    </row>
    <row r="73" spans="1:8" ht="20.100000000000001" customHeight="1" x14ac:dyDescent="0.25">
      <c r="H73" s="32"/>
    </row>
    <row r="74" spans="1:8" ht="20.100000000000001" customHeight="1" x14ac:dyDescent="0.25">
      <c r="C74" s="27">
        <v>24087.51</v>
      </c>
      <c r="D74" s="26">
        <v>601.45000000000005</v>
      </c>
      <c r="E74" s="26">
        <v>40</v>
      </c>
      <c r="F74" s="26" t="s">
        <v>830</v>
      </c>
      <c r="G74" s="28">
        <v>46160</v>
      </c>
    </row>
    <row r="75" spans="1:8" ht="20.100000000000001" customHeight="1" x14ac:dyDescent="0.25">
      <c r="A75" s="25" t="s">
        <v>65</v>
      </c>
      <c r="B75" s="26" t="s">
        <v>831</v>
      </c>
      <c r="C75" s="27">
        <v>25827.15</v>
      </c>
      <c r="D75" s="26">
        <v>640.14</v>
      </c>
      <c r="E75" s="26">
        <v>40</v>
      </c>
      <c r="F75" s="26" t="s">
        <v>832</v>
      </c>
      <c r="G75" s="28">
        <v>46174</v>
      </c>
    </row>
    <row r="76" spans="1:8" ht="20.100000000000001" customHeight="1" x14ac:dyDescent="0.25">
      <c r="A76" s="25" t="s">
        <v>67</v>
      </c>
      <c r="B76" s="26" t="s">
        <v>831</v>
      </c>
      <c r="C76" s="27">
        <v>34384.910000000003</v>
      </c>
      <c r="D76" s="26">
        <v>687.7</v>
      </c>
      <c r="E76" s="26">
        <v>50</v>
      </c>
      <c r="F76" s="26" t="s">
        <v>833</v>
      </c>
      <c r="G76" s="28">
        <v>46189</v>
      </c>
    </row>
    <row r="77" spans="1:8" ht="20.100000000000001" customHeight="1" x14ac:dyDescent="0.25">
      <c r="C77" s="27">
        <v>27682.11</v>
      </c>
      <c r="D77" s="26">
        <v>692.05</v>
      </c>
      <c r="E77" s="26">
        <v>40</v>
      </c>
      <c r="F77" s="26" t="s">
        <v>834</v>
      </c>
      <c r="G77" s="28">
        <v>46190</v>
      </c>
    </row>
    <row r="78" spans="1:8" ht="20.100000000000001" customHeight="1" x14ac:dyDescent="0.25">
      <c r="C78" s="27">
        <v>14148.76</v>
      </c>
      <c r="D78" s="26">
        <v>706.92</v>
      </c>
      <c r="E78" s="26">
        <v>20</v>
      </c>
      <c r="F78" s="26" t="s">
        <v>835</v>
      </c>
      <c r="G78" s="28">
        <v>46197</v>
      </c>
    </row>
    <row r="79" spans="1:8" ht="20.100000000000001" customHeight="1" x14ac:dyDescent="0.25"/>
    <row r="80" spans="1:8" ht="20.100000000000001" customHeight="1" x14ac:dyDescent="0.25"/>
    <row r="81" spans="1:8" ht="20.100000000000001" customHeight="1" x14ac:dyDescent="0.25"/>
    <row r="82" spans="1:8" ht="20.100000000000001" customHeight="1" x14ac:dyDescent="0.25">
      <c r="C82" s="27">
        <v>5677.1</v>
      </c>
      <c r="D82" s="26">
        <v>567.71</v>
      </c>
      <c r="E82" s="26">
        <v>10</v>
      </c>
      <c r="F82" s="26" t="s">
        <v>836</v>
      </c>
      <c r="G82" s="28">
        <v>46134</v>
      </c>
    </row>
    <row r="83" spans="1:8" ht="20.100000000000001" customHeight="1" x14ac:dyDescent="0.25">
      <c r="C83" s="27">
        <v>5694.27</v>
      </c>
      <c r="D83" s="26">
        <v>569.42999999999995</v>
      </c>
      <c r="E83" s="26">
        <v>10</v>
      </c>
      <c r="F83" s="26" t="s">
        <v>837</v>
      </c>
      <c r="G83" s="28">
        <v>46141</v>
      </c>
    </row>
    <row r="84" spans="1:8" ht="20.100000000000001" customHeight="1" x14ac:dyDescent="0.25">
      <c r="A84" s="25" t="s">
        <v>20</v>
      </c>
      <c r="B84" s="26" t="s">
        <v>838</v>
      </c>
      <c r="C84" s="27">
        <v>17082.900000000001</v>
      </c>
      <c r="D84" s="26">
        <v>569.42999999999995</v>
      </c>
      <c r="E84" s="26">
        <v>30</v>
      </c>
      <c r="F84" s="26" t="s">
        <v>819</v>
      </c>
      <c r="G84" s="28">
        <v>46141</v>
      </c>
    </row>
    <row r="85" spans="1:8" ht="20.100000000000001" customHeight="1" x14ac:dyDescent="0.25">
      <c r="A85" s="25" t="s">
        <v>26</v>
      </c>
      <c r="B85" s="26" t="s">
        <v>838</v>
      </c>
      <c r="C85" s="27">
        <v>41762</v>
      </c>
      <c r="D85" s="26">
        <v>596.6</v>
      </c>
      <c r="E85" s="26">
        <v>70</v>
      </c>
      <c r="F85" s="26" t="s">
        <v>819</v>
      </c>
      <c r="G85" s="28">
        <v>46155</v>
      </c>
    </row>
    <row r="86" spans="1:8" ht="20.100000000000001" customHeight="1" x14ac:dyDescent="0.25">
      <c r="A86" s="25" t="s">
        <v>29</v>
      </c>
      <c r="B86" s="26" t="s">
        <v>838</v>
      </c>
      <c r="C86" s="27">
        <v>12913.57</v>
      </c>
      <c r="D86" s="26">
        <v>645.67999999999995</v>
      </c>
      <c r="E86" s="26">
        <v>20</v>
      </c>
      <c r="F86" s="26" t="s">
        <v>839</v>
      </c>
      <c r="G86" s="28">
        <v>46174</v>
      </c>
    </row>
    <row r="87" spans="1:8" ht="20.100000000000001" customHeight="1" x14ac:dyDescent="0.25">
      <c r="C87" s="27">
        <v>20021.16</v>
      </c>
      <c r="D87" s="26">
        <v>667.37</v>
      </c>
      <c r="E87" s="26">
        <v>30</v>
      </c>
      <c r="F87" s="26" t="s">
        <v>840</v>
      </c>
      <c r="G87" s="28">
        <v>46184</v>
      </c>
    </row>
    <row r="88" spans="1:8" ht="20.100000000000001" customHeight="1" x14ac:dyDescent="0.25">
      <c r="C88" s="27">
        <v>34385</v>
      </c>
      <c r="D88" s="26">
        <v>687.7</v>
      </c>
      <c r="E88" s="26">
        <v>50</v>
      </c>
      <c r="F88" s="26" t="s">
        <v>819</v>
      </c>
      <c r="G88" s="28">
        <v>46189</v>
      </c>
    </row>
    <row r="89" spans="1:8" ht="20.100000000000001" customHeight="1" x14ac:dyDescent="0.25">
      <c r="C89" s="27">
        <v>10380.790000000001</v>
      </c>
      <c r="D89" s="26">
        <v>692.05</v>
      </c>
      <c r="E89" s="26">
        <v>15</v>
      </c>
      <c r="F89" s="26" t="s">
        <v>841</v>
      </c>
      <c r="G89" s="28">
        <v>46190</v>
      </c>
    </row>
    <row r="90" spans="1:8" ht="20.100000000000001" customHeight="1" x14ac:dyDescent="0.25">
      <c r="C90" s="27"/>
      <c r="D90" s="26"/>
      <c r="E90" s="26">
        <v>20</v>
      </c>
      <c r="F90" s="26" t="s">
        <v>710</v>
      </c>
      <c r="G90" s="28">
        <v>46256</v>
      </c>
    </row>
    <row r="91" spans="1:8" ht="20.100000000000001" customHeight="1" x14ac:dyDescent="0.25"/>
    <row r="92" spans="1:8" ht="20.100000000000001" customHeight="1" x14ac:dyDescent="0.25"/>
    <row r="93" spans="1:8" ht="20.100000000000001" customHeight="1" x14ac:dyDescent="0.25"/>
    <row r="94" spans="1:8" ht="20.100000000000001" customHeight="1" x14ac:dyDescent="0.25">
      <c r="A94" s="25" t="s">
        <v>19</v>
      </c>
      <c r="B94" s="26" t="s">
        <v>842</v>
      </c>
      <c r="C94" s="27">
        <v>15037</v>
      </c>
      <c r="D94" s="26">
        <v>692.05</v>
      </c>
      <c r="E94" s="26">
        <v>25</v>
      </c>
      <c r="F94" s="26" t="s">
        <v>819</v>
      </c>
      <c r="G94" s="31">
        <v>46190</v>
      </c>
      <c r="H94" s="17" t="s">
        <v>449</v>
      </c>
    </row>
    <row r="95" spans="1:8" ht="20.100000000000001" customHeight="1" x14ac:dyDescent="0.25">
      <c r="A95" s="25" t="s">
        <v>48</v>
      </c>
      <c r="B95" s="26" t="s">
        <v>842</v>
      </c>
      <c r="C95" s="27">
        <v>60133</v>
      </c>
      <c r="D95" s="26">
        <v>706.92</v>
      </c>
      <c r="E95" s="26">
        <v>85</v>
      </c>
      <c r="F95" s="26" t="s">
        <v>843</v>
      </c>
      <c r="G95" s="31">
        <v>46197</v>
      </c>
    </row>
    <row r="96" spans="1:8" ht="20.100000000000001" customHeight="1" x14ac:dyDescent="0.25">
      <c r="A96" s="25" t="s">
        <v>49</v>
      </c>
      <c r="B96" s="26" t="s">
        <v>842</v>
      </c>
      <c r="C96" s="27">
        <v>21207.55</v>
      </c>
      <c r="D96" s="26">
        <v>706.92</v>
      </c>
      <c r="E96" s="26">
        <v>30</v>
      </c>
      <c r="F96" s="26" t="s">
        <v>819</v>
      </c>
      <c r="G96" s="31">
        <v>46196</v>
      </c>
    </row>
    <row r="97" spans="1:7" ht="20.100000000000001" customHeight="1" x14ac:dyDescent="0.25">
      <c r="C97" s="27">
        <v>77453.539999999994</v>
      </c>
      <c r="D97" s="26">
        <v>911.22</v>
      </c>
      <c r="E97" s="26">
        <v>85</v>
      </c>
      <c r="F97" s="26" t="s">
        <v>819</v>
      </c>
      <c r="G97" s="31">
        <v>46255</v>
      </c>
    </row>
    <row r="98" spans="1:7" ht="20.100000000000001" customHeight="1" x14ac:dyDescent="0.25">
      <c r="C98" s="27"/>
      <c r="D98" s="26"/>
      <c r="E98" s="26">
        <v>30</v>
      </c>
      <c r="F98" s="26" t="s">
        <v>710</v>
      </c>
      <c r="G98" s="31">
        <v>46256</v>
      </c>
    </row>
    <row r="99" spans="1:7" ht="20.100000000000001" customHeight="1" x14ac:dyDescent="0.25">
      <c r="C99" s="80"/>
      <c r="D99" s="81"/>
      <c r="E99" s="81"/>
      <c r="F99" s="81"/>
      <c r="G99" s="82"/>
    </row>
    <row r="100" spans="1:7" ht="20.100000000000001" customHeight="1" x14ac:dyDescent="0.25"/>
    <row r="101" spans="1:7" ht="20.100000000000001" customHeight="1" x14ac:dyDescent="0.25"/>
    <row r="102" spans="1:7" ht="20.100000000000001" customHeight="1" x14ac:dyDescent="0.25">
      <c r="A102" s="25" t="s">
        <v>46</v>
      </c>
      <c r="B102" s="26" t="s">
        <v>844</v>
      </c>
      <c r="C102" s="27">
        <v>31385.14</v>
      </c>
      <c r="D102" s="26">
        <v>627.70000000000005</v>
      </c>
      <c r="E102" s="26">
        <v>50</v>
      </c>
      <c r="F102" s="26" t="s">
        <v>845</v>
      </c>
      <c r="G102" s="31">
        <v>46169</v>
      </c>
    </row>
    <row r="103" spans="1:7" ht="20.100000000000001" customHeight="1" x14ac:dyDescent="0.25">
      <c r="A103" s="25" t="s">
        <v>47</v>
      </c>
      <c r="B103" s="26" t="s">
        <v>844</v>
      </c>
      <c r="C103" s="27">
        <v>19661.52</v>
      </c>
      <c r="D103" s="26">
        <v>655.38</v>
      </c>
      <c r="E103" s="26">
        <v>30</v>
      </c>
      <c r="F103" s="26" t="s">
        <v>846</v>
      </c>
      <c r="G103" s="31">
        <v>46182</v>
      </c>
    </row>
    <row r="104" spans="1:7" ht="20.100000000000001" customHeight="1" x14ac:dyDescent="0.25">
      <c r="C104" s="27">
        <v>34868.239999999998</v>
      </c>
      <c r="D104" s="26">
        <v>697.36</v>
      </c>
      <c r="E104" s="26">
        <v>50</v>
      </c>
      <c r="F104" s="26" t="s">
        <v>847</v>
      </c>
      <c r="G104" s="31">
        <v>46192</v>
      </c>
    </row>
    <row r="105" spans="1:7" ht="20.100000000000001" customHeight="1" x14ac:dyDescent="0.25">
      <c r="C105" s="27">
        <v>17504.34</v>
      </c>
      <c r="D105" s="26">
        <v>875.22</v>
      </c>
      <c r="E105" s="26">
        <v>20</v>
      </c>
      <c r="F105" s="26" t="s">
        <v>848</v>
      </c>
      <c r="G105" s="31">
        <v>46244</v>
      </c>
    </row>
    <row r="106" spans="1:7" ht="20.100000000000001" customHeight="1" x14ac:dyDescent="0.25">
      <c r="C106" s="27"/>
      <c r="D106" s="26"/>
      <c r="E106" s="26">
        <v>20</v>
      </c>
      <c r="F106" s="26" t="s">
        <v>710</v>
      </c>
      <c r="G106" s="31">
        <v>46256</v>
      </c>
    </row>
    <row r="107" spans="1:7" ht="20.100000000000001" customHeight="1" x14ac:dyDescent="0.25">
      <c r="C107" s="80"/>
      <c r="D107" s="81"/>
      <c r="E107" s="81"/>
      <c r="F107" s="81"/>
      <c r="G107" s="82"/>
    </row>
    <row r="108" spans="1:7" ht="20.100000000000001" customHeight="1" x14ac:dyDescent="0.25"/>
    <row r="109" spans="1:7" ht="20.100000000000001" customHeight="1" x14ac:dyDescent="0.25"/>
    <row r="110" spans="1:7" ht="20.100000000000001" customHeight="1" x14ac:dyDescent="0.25">
      <c r="A110" s="25" t="s">
        <v>35</v>
      </c>
      <c r="B110" s="26" t="s">
        <v>849</v>
      </c>
      <c r="C110" s="27">
        <v>240030.41</v>
      </c>
      <c r="D110" s="26"/>
      <c r="E110" s="26">
        <v>275</v>
      </c>
      <c r="F110" s="26" t="s">
        <v>850</v>
      </c>
      <c r="G110" s="28">
        <v>46240</v>
      </c>
    </row>
    <row r="111" spans="1:7" ht="20.100000000000001" customHeight="1" x14ac:dyDescent="0.25">
      <c r="A111" s="25" t="s">
        <v>36</v>
      </c>
      <c r="B111" s="26" t="s">
        <v>849</v>
      </c>
      <c r="C111" s="27"/>
      <c r="D111" s="26"/>
      <c r="E111" s="26">
        <v>65</v>
      </c>
      <c r="F111" s="26" t="s">
        <v>851</v>
      </c>
      <c r="G111" s="28">
        <v>46240</v>
      </c>
    </row>
    <row r="112" spans="1:7" ht="20.100000000000001" customHeight="1" x14ac:dyDescent="0.25">
      <c r="A112" s="25" t="s">
        <v>37</v>
      </c>
      <c r="B112" s="26" t="s">
        <v>849</v>
      </c>
      <c r="C112" s="27"/>
      <c r="D112" s="26"/>
      <c r="E112" s="26"/>
      <c r="F112" s="26"/>
      <c r="G112" s="28"/>
    </row>
    <row r="113" spans="1:7" ht="20.100000000000001" customHeight="1" x14ac:dyDescent="0.25">
      <c r="A113" s="25" t="s">
        <v>42</v>
      </c>
      <c r="B113" s="26" t="s">
        <v>849</v>
      </c>
      <c r="C113" s="27"/>
      <c r="D113" s="26"/>
      <c r="E113" s="26"/>
      <c r="F113" s="26"/>
      <c r="G113" s="28"/>
    </row>
    <row r="114" spans="1:7" ht="20.100000000000001" customHeight="1" x14ac:dyDescent="0.25"/>
    <row r="115" spans="1:7" ht="20.100000000000001" customHeight="1" x14ac:dyDescent="0.25"/>
    <row r="116" spans="1:7" ht="20.100000000000001" customHeight="1" x14ac:dyDescent="0.25"/>
    <row r="117" spans="1:7" ht="20.100000000000001" customHeight="1" x14ac:dyDescent="0.25">
      <c r="A117" s="25" t="s">
        <v>50</v>
      </c>
      <c r="B117" s="26" t="s">
        <v>852</v>
      </c>
      <c r="C117" s="27">
        <v>35403.18</v>
      </c>
      <c r="D117" s="26">
        <v>885.08</v>
      </c>
      <c r="E117" s="26">
        <v>40</v>
      </c>
      <c r="F117" s="26" t="s">
        <v>853</v>
      </c>
      <c r="G117" s="28">
        <v>46247</v>
      </c>
    </row>
    <row r="118" spans="1:7" ht="20.100000000000001" customHeight="1" x14ac:dyDescent="0.25">
      <c r="A118" s="25" t="s">
        <v>54</v>
      </c>
      <c r="B118" s="26" t="s">
        <v>852</v>
      </c>
      <c r="C118" s="27">
        <v>77080.77</v>
      </c>
      <c r="D118" s="26">
        <v>906.83</v>
      </c>
      <c r="E118" s="26">
        <v>85</v>
      </c>
      <c r="F118" s="26" t="s">
        <v>854</v>
      </c>
      <c r="G118" s="28">
        <v>46254</v>
      </c>
    </row>
    <row r="119" spans="1:7" ht="20.100000000000001" customHeight="1" x14ac:dyDescent="0.25">
      <c r="C119" s="27">
        <v>40807.47</v>
      </c>
      <c r="D119" s="26">
        <v>906.83</v>
      </c>
      <c r="E119" s="26">
        <v>45</v>
      </c>
      <c r="F119" s="26" t="s">
        <v>855</v>
      </c>
      <c r="G119" s="28">
        <v>46254</v>
      </c>
    </row>
    <row r="120" spans="1:7" ht="20.100000000000001" customHeight="1" x14ac:dyDescent="0.25"/>
    <row r="121" spans="1:7" ht="20.100000000000001" customHeight="1" x14ac:dyDescent="0.25"/>
    <row r="122" spans="1:7" ht="20.100000000000001" customHeight="1" x14ac:dyDescent="0.25"/>
    <row r="123" spans="1:7" ht="20.100000000000001" customHeight="1" x14ac:dyDescent="0.25">
      <c r="A123" s="25" t="s">
        <v>70</v>
      </c>
      <c r="B123" s="26" t="s">
        <v>803</v>
      </c>
      <c r="C123" s="27">
        <v>17889.8</v>
      </c>
      <c r="D123" s="26">
        <f>C123/E123</f>
        <v>894.49</v>
      </c>
      <c r="E123" s="26">
        <v>20</v>
      </c>
      <c r="F123" s="26" t="s">
        <v>856</v>
      </c>
      <c r="G123" s="28">
        <v>46251</v>
      </c>
    </row>
    <row r="124" spans="1:7" ht="20.100000000000001" customHeight="1" x14ac:dyDescent="0.25">
      <c r="C124" s="27">
        <v>59230</v>
      </c>
      <c r="D124" s="26">
        <v>911.22</v>
      </c>
      <c r="E124" s="26">
        <v>65</v>
      </c>
      <c r="F124" s="26" t="s">
        <v>857</v>
      </c>
      <c r="G124" s="28">
        <v>46255</v>
      </c>
    </row>
    <row r="125" spans="1:7" ht="20.100000000000001" customHeight="1" x14ac:dyDescent="0.25"/>
    <row r="126" spans="1:7" ht="20.100000000000001" customHeight="1" x14ac:dyDescent="0.25"/>
    <row r="127" spans="1:7" ht="20.100000000000001" customHeight="1" x14ac:dyDescent="0.25"/>
    <row r="128" spans="1:7" ht="20.100000000000001" customHeight="1" x14ac:dyDescent="0.25">
      <c r="A128" s="58"/>
      <c r="B128" s="58"/>
      <c r="C128" s="27">
        <v>23683.62</v>
      </c>
      <c r="D128" s="26">
        <v>894.49</v>
      </c>
      <c r="E128" s="26">
        <v>26.63</v>
      </c>
      <c r="F128" s="26" t="s">
        <v>858</v>
      </c>
      <c r="G128" s="28">
        <v>46249</v>
      </c>
    </row>
    <row r="129" spans="1:7" ht="20.100000000000001" customHeight="1" x14ac:dyDescent="0.25">
      <c r="A129" s="25" t="s">
        <v>10</v>
      </c>
      <c r="B129" s="26" t="s">
        <v>859</v>
      </c>
      <c r="C129" s="27">
        <v>23683.62</v>
      </c>
      <c r="D129" s="26">
        <v>894.49</v>
      </c>
      <c r="E129" s="26">
        <v>26.63</v>
      </c>
      <c r="F129" s="26" t="s">
        <v>860</v>
      </c>
      <c r="G129" s="28">
        <v>46249</v>
      </c>
    </row>
    <row r="130" spans="1:7" ht="20.100000000000001" customHeight="1" x14ac:dyDescent="0.25">
      <c r="A130" s="25" t="s">
        <v>16</v>
      </c>
      <c r="B130" s="26" t="s">
        <v>859</v>
      </c>
      <c r="C130" s="27">
        <v>56995</v>
      </c>
      <c r="D130" s="26">
        <v>906.83</v>
      </c>
      <c r="E130" s="26">
        <v>62.85</v>
      </c>
      <c r="F130" s="26" t="s">
        <v>861</v>
      </c>
      <c r="G130" s="28">
        <v>46254</v>
      </c>
    </row>
    <row r="131" spans="1:7" ht="20.100000000000001" customHeight="1" x14ac:dyDescent="0.25">
      <c r="A131" s="58"/>
      <c r="B131" s="58"/>
      <c r="C131" s="27">
        <v>42758</v>
      </c>
      <c r="D131" s="26">
        <v>906.83</v>
      </c>
      <c r="E131" s="26">
        <v>47.15</v>
      </c>
      <c r="F131" s="26" t="s">
        <v>862</v>
      </c>
      <c r="G131" s="28">
        <v>46254</v>
      </c>
    </row>
    <row r="132" spans="1:7" ht="20.100000000000001" customHeight="1" x14ac:dyDescent="0.25">
      <c r="A132" s="58"/>
      <c r="B132" s="58"/>
      <c r="C132" s="27">
        <v>6141.62</v>
      </c>
      <c r="D132" s="26">
        <v>911.22</v>
      </c>
      <c r="E132" s="26">
        <v>6.74</v>
      </c>
      <c r="F132" s="26" t="s">
        <v>863</v>
      </c>
      <c r="G132" s="28">
        <v>46255</v>
      </c>
    </row>
    <row r="133" spans="1:7" ht="20.100000000000001" customHeight="1" x14ac:dyDescent="0.25"/>
    <row r="134" spans="1:7" ht="20.100000000000001" customHeight="1" x14ac:dyDescent="0.25"/>
    <row r="135" spans="1:7" ht="20.100000000000001" customHeight="1" x14ac:dyDescent="0.25"/>
    <row r="136" spans="1:7" ht="20.100000000000001" customHeight="1" x14ac:dyDescent="0.25">
      <c r="A136" s="25" t="s">
        <v>73</v>
      </c>
      <c r="B136" s="26" t="s">
        <v>806</v>
      </c>
      <c r="C136" s="27"/>
      <c r="D136" s="26"/>
      <c r="E136" s="26">
        <v>85</v>
      </c>
      <c r="F136" s="26" t="s">
        <v>864</v>
      </c>
      <c r="G136" s="28">
        <v>46252</v>
      </c>
    </row>
    <row r="137" spans="1:7" ht="20.100000000000001" customHeight="1" x14ac:dyDescent="0.25">
      <c r="A137" s="25" t="s">
        <v>74</v>
      </c>
      <c r="B137" s="26" t="s">
        <v>806</v>
      </c>
      <c r="C137" s="27"/>
      <c r="D137" s="26"/>
      <c r="E137" s="26">
        <v>85</v>
      </c>
      <c r="F137" s="26" t="s">
        <v>865</v>
      </c>
      <c r="G137" s="28">
        <v>46255</v>
      </c>
    </row>
    <row r="138" spans="1:7" ht="20.100000000000001" customHeight="1" x14ac:dyDescent="0.25">
      <c r="C138" s="27"/>
      <c r="D138" s="26"/>
      <c r="E138" s="26">
        <v>20</v>
      </c>
      <c r="F138" s="26" t="s">
        <v>710</v>
      </c>
      <c r="G138" s="28">
        <v>46256</v>
      </c>
    </row>
    <row r="139" spans="1:7" ht="20.100000000000001" customHeight="1" x14ac:dyDescent="0.25"/>
    <row r="140" spans="1:7" ht="20.100000000000001" customHeight="1" x14ac:dyDescent="0.25"/>
    <row r="141" spans="1:7" ht="20.100000000000001" customHeight="1" x14ac:dyDescent="0.25"/>
    <row r="142" spans="1:7" ht="20.100000000000001" customHeight="1" x14ac:dyDescent="0.25">
      <c r="A142" s="25" t="s">
        <v>30</v>
      </c>
      <c r="B142" s="26" t="s">
        <v>94</v>
      </c>
      <c r="C142" s="27"/>
      <c r="D142" s="26"/>
      <c r="E142" s="26"/>
      <c r="F142" s="26"/>
      <c r="G142" s="28"/>
    </row>
    <row r="143" spans="1:7" ht="20.100000000000001" customHeight="1" x14ac:dyDescent="0.25">
      <c r="A143" s="25" t="s">
        <v>71</v>
      </c>
      <c r="B143" s="26" t="s">
        <v>94</v>
      </c>
      <c r="C143" s="27"/>
      <c r="D143" s="26"/>
      <c r="E143" s="26"/>
      <c r="F143" s="26"/>
      <c r="G143" s="28"/>
    </row>
    <row r="144" spans="1:7" ht="20.100000000000001" customHeight="1" x14ac:dyDescent="0.25">
      <c r="A144" s="25" t="s">
        <v>72</v>
      </c>
      <c r="B144" s="26" t="s">
        <v>94</v>
      </c>
      <c r="C144" s="27"/>
      <c r="D144" s="26"/>
      <c r="E144" s="26"/>
      <c r="F144" s="26"/>
      <c r="G144" s="28"/>
    </row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</sheetData>
  <mergeCells count="21">
    <mergeCell ref="F28:F29"/>
    <mergeCell ref="S28:S32"/>
    <mergeCell ref="O29:O32"/>
    <mergeCell ref="F33:F34"/>
    <mergeCell ref="A48:G48"/>
    <mergeCell ref="O13:O14"/>
    <mergeCell ref="S15:S17"/>
    <mergeCell ref="O17:O18"/>
    <mergeCell ref="O21:O22"/>
    <mergeCell ref="S21:S24"/>
    <mergeCell ref="F22:F23"/>
    <mergeCell ref="F24:F25"/>
    <mergeCell ref="O25:O26"/>
    <mergeCell ref="F26:F27"/>
    <mergeCell ref="A1:F1"/>
    <mergeCell ref="M1:O1"/>
    <mergeCell ref="Q1:S1"/>
    <mergeCell ref="O5:O6"/>
    <mergeCell ref="S5:S7"/>
    <mergeCell ref="O9:O10"/>
    <mergeCell ref="S10:S12"/>
  </mergeCells>
  <pageMargins left="0.7" right="0.7" top="0.75" bottom="0.75" header="0.3" footer="0.3"/>
  <pageSetup scale="78" fitToHeight="0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>
    <pageSetUpPr fitToPage="1"/>
  </sheetPr>
  <dimension ref="A1:M34"/>
  <sheetViews>
    <sheetView zoomScale="62" zoomScaleNormal="62" workbookViewId="0">
      <selection activeCell="J16" sqref="J16"/>
    </sheetView>
  </sheetViews>
  <sheetFormatPr baseColWidth="10" defaultRowHeight="15" x14ac:dyDescent="0.25"/>
  <cols>
    <col min="1" max="1" width="57.42578125" customWidth="1"/>
    <col min="8" max="8" width="32" customWidth="1"/>
    <col min="9" max="9" width="15.85546875" customWidth="1"/>
    <col min="10" max="10" width="18" customWidth="1"/>
    <col min="11" max="11" width="52.5703125" customWidth="1"/>
    <col min="12" max="12" width="34.5703125" customWidth="1"/>
    <col min="13" max="13" width="23.140625" customWidth="1"/>
  </cols>
  <sheetData>
    <row r="1" spans="1:13" ht="73.5" customHeight="1" x14ac:dyDescent="0.25">
      <c r="A1" s="1" t="s">
        <v>866</v>
      </c>
      <c r="B1" s="1"/>
      <c r="C1" s="1"/>
      <c r="D1" s="1"/>
      <c r="E1" s="1"/>
      <c r="G1" s="2" t="s">
        <v>867</v>
      </c>
      <c r="H1" s="2"/>
      <c r="I1" s="2"/>
      <c r="J1" s="2"/>
      <c r="K1" s="2"/>
      <c r="L1" s="3" t="s">
        <v>868</v>
      </c>
    </row>
    <row r="2" spans="1:13" ht="15.75" customHeight="1" x14ac:dyDescent="0.4">
      <c r="A2" s="1"/>
      <c r="B2" s="1"/>
      <c r="C2" s="1"/>
      <c r="D2" s="1"/>
      <c r="E2" s="1"/>
      <c r="G2" s="4" t="s">
        <v>273</v>
      </c>
      <c r="H2" s="4"/>
      <c r="I2" s="4"/>
      <c r="J2" s="4"/>
      <c r="K2" s="4"/>
      <c r="L2" s="5"/>
    </row>
    <row r="3" spans="1:13" ht="28.5" customHeight="1" x14ac:dyDescent="0.25">
      <c r="A3" s="1"/>
      <c r="B3" s="1"/>
      <c r="C3" s="1"/>
      <c r="D3" s="1"/>
      <c r="E3" s="1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spans="1:13" ht="30" customHeight="1" x14ac:dyDescent="0.25">
      <c r="A4" s="1"/>
      <c r="B4" s="1"/>
      <c r="C4" s="1"/>
      <c r="D4" s="1"/>
      <c r="E4" s="1"/>
      <c r="G4" s="7" t="s">
        <v>10</v>
      </c>
      <c r="H4" s="8" t="s">
        <v>869</v>
      </c>
      <c r="I4" s="9" t="s">
        <v>17</v>
      </c>
      <c r="J4" s="8" t="s">
        <v>17</v>
      </c>
      <c r="K4" s="10" t="s">
        <v>870</v>
      </c>
      <c r="L4" s="8" t="s">
        <v>871</v>
      </c>
    </row>
    <row r="5" spans="1:13" ht="30" customHeight="1" x14ac:dyDescent="0.25">
      <c r="G5" s="7" t="s">
        <v>16</v>
      </c>
      <c r="H5" s="8" t="s">
        <v>869</v>
      </c>
      <c r="I5" s="9" t="s">
        <v>17</v>
      </c>
      <c r="J5" s="8" t="s">
        <v>17</v>
      </c>
      <c r="K5" s="10" t="s">
        <v>870</v>
      </c>
      <c r="L5" s="8" t="s">
        <v>871</v>
      </c>
    </row>
    <row r="6" spans="1:13" ht="30" customHeight="1" x14ac:dyDescent="0.25">
      <c r="G6" s="7" t="s">
        <v>18</v>
      </c>
      <c r="H6" s="8" t="s">
        <v>872</v>
      </c>
      <c r="I6" s="8" t="s">
        <v>873</v>
      </c>
      <c r="J6" s="8" t="s">
        <v>874</v>
      </c>
      <c r="K6" s="10" t="s">
        <v>875</v>
      </c>
      <c r="L6" s="8" t="s">
        <v>25</v>
      </c>
    </row>
    <row r="7" spans="1:13" ht="30" customHeight="1" x14ac:dyDescent="0.25">
      <c r="G7" s="7" t="s">
        <v>19</v>
      </c>
      <c r="H7" s="8" t="s">
        <v>876</v>
      </c>
      <c r="I7" s="8" t="s">
        <v>877</v>
      </c>
      <c r="J7" s="8" t="s">
        <v>878</v>
      </c>
      <c r="K7" s="10" t="s">
        <v>875</v>
      </c>
      <c r="L7" s="8" t="s">
        <v>25</v>
      </c>
    </row>
    <row r="8" spans="1:13" ht="30" customHeight="1" x14ac:dyDescent="0.25">
      <c r="G8" s="7" t="s">
        <v>20</v>
      </c>
      <c r="H8" s="50" t="s">
        <v>879</v>
      </c>
      <c r="I8" s="51" t="s">
        <v>880</v>
      </c>
      <c r="J8" s="50" t="s">
        <v>881</v>
      </c>
      <c r="K8" s="52" t="s">
        <v>882</v>
      </c>
      <c r="L8" s="50" t="s">
        <v>15</v>
      </c>
    </row>
    <row r="9" spans="1:13" ht="30" customHeight="1" x14ac:dyDescent="0.25">
      <c r="G9" s="7" t="s">
        <v>26</v>
      </c>
      <c r="H9" s="50" t="s">
        <v>883</v>
      </c>
      <c r="I9" s="51" t="s">
        <v>237</v>
      </c>
      <c r="J9" s="50" t="s">
        <v>17</v>
      </c>
      <c r="K9" s="52" t="s">
        <v>882</v>
      </c>
      <c r="L9" s="50" t="s">
        <v>15</v>
      </c>
      <c r="M9" s="13"/>
    </row>
    <row r="10" spans="1:13" ht="30" customHeight="1" x14ac:dyDescent="0.25">
      <c r="G10" s="7" t="s">
        <v>29</v>
      </c>
      <c r="H10" s="8" t="s">
        <v>884</v>
      </c>
      <c r="I10" s="9">
        <v>23537363</v>
      </c>
      <c r="J10" s="8" t="s">
        <v>885</v>
      </c>
      <c r="K10" s="10" t="s">
        <v>886</v>
      </c>
      <c r="L10" s="8" t="s">
        <v>887</v>
      </c>
      <c r="M10" s="13"/>
    </row>
    <row r="11" spans="1:13" ht="30" customHeight="1" x14ac:dyDescent="0.25">
      <c r="G11" s="7" t="s">
        <v>30</v>
      </c>
      <c r="H11" s="8" t="s">
        <v>888</v>
      </c>
      <c r="I11" s="9">
        <v>23486907</v>
      </c>
      <c r="J11" s="8" t="s">
        <v>889</v>
      </c>
      <c r="K11" s="10" t="s">
        <v>886</v>
      </c>
      <c r="L11" s="8" t="s">
        <v>25</v>
      </c>
      <c r="M11" s="13"/>
    </row>
    <row r="12" spans="1:13" ht="30" customHeight="1" x14ac:dyDescent="0.25">
      <c r="G12" s="7" t="s">
        <v>35</v>
      </c>
      <c r="H12" s="8" t="s">
        <v>890</v>
      </c>
      <c r="I12" s="9" t="s">
        <v>891</v>
      </c>
      <c r="J12" s="8" t="s">
        <v>892</v>
      </c>
      <c r="K12" s="10" t="s">
        <v>886</v>
      </c>
      <c r="L12" s="8" t="s">
        <v>25</v>
      </c>
      <c r="M12" s="13"/>
    </row>
    <row r="13" spans="1:13" ht="30" customHeight="1" x14ac:dyDescent="0.25">
      <c r="G13" s="7" t="s">
        <v>36</v>
      </c>
      <c r="H13" s="8" t="s">
        <v>893</v>
      </c>
      <c r="I13" s="9" t="s">
        <v>894</v>
      </c>
      <c r="J13" s="8" t="s">
        <v>895</v>
      </c>
      <c r="K13" s="52" t="s">
        <v>896</v>
      </c>
      <c r="L13" s="8" t="s">
        <v>15</v>
      </c>
      <c r="M13" s="13"/>
    </row>
    <row r="14" spans="1:13" ht="30" customHeight="1" x14ac:dyDescent="0.25">
      <c r="G14" s="7" t="s">
        <v>37</v>
      </c>
      <c r="H14" s="8" t="s">
        <v>897</v>
      </c>
      <c r="I14" s="9" t="s">
        <v>17</v>
      </c>
      <c r="J14" s="8" t="s">
        <v>17</v>
      </c>
      <c r="K14" s="52" t="s">
        <v>898</v>
      </c>
      <c r="L14" s="8" t="s">
        <v>897</v>
      </c>
      <c r="M14" s="13"/>
    </row>
    <row r="15" spans="1:13" ht="30" customHeight="1" x14ac:dyDescent="0.25">
      <c r="G15" s="7" t="s">
        <v>42</v>
      </c>
      <c r="H15" s="8" t="s">
        <v>897</v>
      </c>
      <c r="I15" s="9" t="s">
        <v>17</v>
      </c>
      <c r="J15" s="8" t="s">
        <v>17</v>
      </c>
      <c r="K15" s="52" t="s">
        <v>898</v>
      </c>
      <c r="L15" s="8" t="s">
        <v>897</v>
      </c>
      <c r="M15" s="13"/>
    </row>
    <row r="16" spans="1:13" ht="30" customHeight="1" x14ac:dyDescent="0.25">
      <c r="G16" s="7" t="s">
        <v>46</v>
      </c>
      <c r="H16" s="8" t="s">
        <v>899</v>
      </c>
      <c r="I16" s="9" t="s">
        <v>900</v>
      </c>
      <c r="J16" s="8" t="s">
        <v>901</v>
      </c>
      <c r="K16" s="10" t="s">
        <v>902</v>
      </c>
      <c r="L16" s="8" t="s">
        <v>15</v>
      </c>
      <c r="M16" s="13"/>
    </row>
    <row r="17" spans="7:13" ht="30" customHeight="1" x14ac:dyDescent="0.25">
      <c r="G17" s="7" t="s">
        <v>47</v>
      </c>
      <c r="H17" s="8" t="s">
        <v>899</v>
      </c>
      <c r="I17" s="9" t="s">
        <v>17</v>
      </c>
      <c r="J17" s="8" t="s">
        <v>17</v>
      </c>
      <c r="K17" s="10" t="s">
        <v>902</v>
      </c>
      <c r="L17" s="8" t="s">
        <v>15</v>
      </c>
      <c r="M17" s="13"/>
    </row>
    <row r="18" spans="7:13" ht="30" customHeight="1" x14ac:dyDescent="0.25">
      <c r="G18" s="7" t="s">
        <v>48</v>
      </c>
      <c r="H18" s="8" t="s">
        <v>903</v>
      </c>
      <c r="I18" s="9" t="s">
        <v>904</v>
      </c>
      <c r="J18" s="8" t="s">
        <v>905</v>
      </c>
      <c r="K18" s="10" t="s">
        <v>906</v>
      </c>
      <c r="L18" s="8" t="s">
        <v>15</v>
      </c>
      <c r="M18" s="13"/>
    </row>
    <row r="19" spans="7:13" ht="30" customHeight="1" x14ac:dyDescent="0.25">
      <c r="G19" s="7" t="s">
        <v>49</v>
      </c>
      <c r="H19" s="8" t="s">
        <v>907</v>
      </c>
      <c r="I19" s="9" t="s">
        <v>908</v>
      </c>
      <c r="J19" s="8" t="s">
        <v>17</v>
      </c>
      <c r="K19" s="10" t="s">
        <v>906</v>
      </c>
      <c r="L19" s="8" t="s">
        <v>15</v>
      </c>
      <c r="M19" s="13"/>
    </row>
    <row r="20" spans="7:13" ht="30" customHeight="1" x14ac:dyDescent="0.25">
      <c r="G20" s="7" t="s">
        <v>50</v>
      </c>
      <c r="H20" s="8" t="s">
        <v>909</v>
      </c>
      <c r="I20" s="9" t="s">
        <v>910</v>
      </c>
      <c r="J20" s="8" t="s">
        <v>17</v>
      </c>
      <c r="K20" s="10" t="s">
        <v>906</v>
      </c>
      <c r="L20" s="8" t="s">
        <v>15</v>
      </c>
      <c r="M20" s="13"/>
    </row>
    <row r="21" spans="7:13" ht="30" customHeight="1" x14ac:dyDescent="0.25">
      <c r="G21" s="7" t="s">
        <v>54</v>
      </c>
      <c r="H21" s="8" t="s">
        <v>911</v>
      </c>
      <c r="I21" s="9" t="s">
        <v>912</v>
      </c>
      <c r="J21" s="8" t="s">
        <v>17</v>
      </c>
      <c r="K21" s="10" t="s">
        <v>906</v>
      </c>
      <c r="L21" s="8" t="s">
        <v>15</v>
      </c>
      <c r="M21" s="13"/>
    </row>
    <row r="22" spans="7:13" ht="30" customHeight="1" x14ac:dyDescent="0.25">
      <c r="G22" s="7" t="s">
        <v>57</v>
      </c>
      <c r="H22" s="8" t="s">
        <v>913</v>
      </c>
      <c r="I22" s="9" t="s">
        <v>914</v>
      </c>
      <c r="J22" s="8" t="s">
        <v>17</v>
      </c>
      <c r="K22" s="10" t="s">
        <v>906</v>
      </c>
      <c r="L22" s="8" t="s">
        <v>15</v>
      </c>
      <c r="M22" s="13"/>
    </row>
    <row r="23" spans="7:13" ht="30" customHeight="1" x14ac:dyDescent="0.25">
      <c r="G23" s="7" t="s">
        <v>61</v>
      </c>
      <c r="H23" s="8" t="s">
        <v>915</v>
      </c>
      <c r="I23" s="9" t="s">
        <v>916</v>
      </c>
      <c r="J23" s="8" t="s">
        <v>17</v>
      </c>
      <c r="K23" s="10" t="s">
        <v>906</v>
      </c>
      <c r="L23" s="8" t="s">
        <v>15</v>
      </c>
      <c r="M23" s="13"/>
    </row>
    <row r="24" spans="7:13" ht="30" customHeight="1" x14ac:dyDescent="0.25">
      <c r="G24" s="7" t="s">
        <v>63</v>
      </c>
      <c r="H24" s="8" t="s">
        <v>917</v>
      </c>
      <c r="I24" s="9" t="s">
        <v>918</v>
      </c>
      <c r="J24" s="8" t="s">
        <v>919</v>
      </c>
      <c r="K24" s="52" t="s">
        <v>896</v>
      </c>
      <c r="L24" s="8" t="s">
        <v>15</v>
      </c>
      <c r="M24" s="13"/>
    </row>
    <row r="25" spans="7:13" ht="30" customHeight="1" x14ac:dyDescent="0.25">
      <c r="G25" s="7" t="s">
        <v>64</v>
      </c>
      <c r="H25" s="8" t="s">
        <v>920</v>
      </c>
      <c r="I25" s="9" t="s">
        <v>921</v>
      </c>
      <c r="J25" s="8" t="s">
        <v>922</v>
      </c>
      <c r="K25" s="52" t="s">
        <v>896</v>
      </c>
      <c r="L25" s="8" t="s">
        <v>15</v>
      </c>
      <c r="M25" s="13"/>
    </row>
    <row r="26" spans="7:13" ht="30" customHeight="1" x14ac:dyDescent="0.25">
      <c r="G26" s="7" t="s">
        <v>65</v>
      </c>
      <c r="H26" s="8" t="s">
        <v>923</v>
      </c>
      <c r="I26" s="8" t="s">
        <v>924</v>
      </c>
      <c r="J26" s="8" t="s">
        <v>925</v>
      </c>
      <c r="K26" s="52" t="s">
        <v>926</v>
      </c>
      <c r="L26" s="8" t="s">
        <v>15</v>
      </c>
    </row>
    <row r="27" spans="7:13" ht="30" customHeight="1" x14ac:dyDescent="0.25">
      <c r="G27" s="7" t="s">
        <v>67</v>
      </c>
      <c r="H27" s="8" t="s">
        <v>927</v>
      </c>
      <c r="I27" s="8" t="s">
        <v>928</v>
      </c>
      <c r="J27" s="8" t="s">
        <v>929</v>
      </c>
      <c r="K27" s="52" t="s">
        <v>926</v>
      </c>
      <c r="L27" s="8" t="s">
        <v>15</v>
      </c>
    </row>
    <row r="28" spans="7:13" ht="30" customHeight="1" x14ac:dyDescent="0.25">
      <c r="G28" s="7" t="s">
        <v>68</v>
      </c>
      <c r="H28" s="8" t="s">
        <v>930</v>
      </c>
      <c r="I28" s="8" t="s">
        <v>931</v>
      </c>
      <c r="J28" s="8" t="s">
        <v>932</v>
      </c>
      <c r="K28" s="10" t="s">
        <v>933</v>
      </c>
      <c r="L28" s="8" t="s">
        <v>15</v>
      </c>
    </row>
    <row r="29" spans="7:13" ht="30" customHeight="1" x14ac:dyDescent="0.25">
      <c r="G29" s="7" t="s">
        <v>69</v>
      </c>
      <c r="H29" s="8" t="s">
        <v>934</v>
      </c>
      <c r="I29" s="8" t="s">
        <v>935</v>
      </c>
      <c r="J29" s="8" t="s">
        <v>936</v>
      </c>
      <c r="K29" s="10" t="s">
        <v>933</v>
      </c>
      <c r="L29" s="8" t="s">
        <v>15</v>
      </c>
    </row>
    <row r="30" spans="7:13" ht="30" customHeight="1" x14ac:dyDescent="0.25">
      <c r="G30" s="7" t="s">
        <v>70</v>
      </c>
      <c r="H30" s="8" t="s">
        <v>937</v>
      </c>
      <c r="I30" s="9" t="s">
        <v>938</v>
      </c>
      <c r="J30" s="8" t="s">
        <v>939</v>
      </c>
      <c r="K30" s="52" t="s">
        <v>940</v>
      </c>
      <c r="L30" s="8" t="s">
        <v>25</v>
      </c>
    </row>
    <row r="31" spans="7:13" ht="30" customHeight="1" x14ac:dyDescent="0.25">
      <c r="G31" s="7" t="s">
        <v>71</v>
      </c>
      <c r="H31" s="8" t="s">
        <v>941</v>
      </c>
      <c r="I31" s="9" t="s">
        <v>942</v>
      </c>
      <c r="J31" s="8" t="s">
        <v>943</v>
      </c>
      <c r="K31" s="52" t="s">
        <v>940</v>
      </c>
      <c r="L31" s="8" t="s">
        <v>25</v>
      </c>
    </row>
    <row r="32" spans="7:13" ht="30" customHeight="1" x14ac:dyDescent="0.25">
      <c r="G32" s="7" t="s">
        <v>72</v>
      </c>
      <c r="H32" s="8" t="s">
        <v>944</v>
      </c>
      <c r="I32" s="9" t="s">
        <v>945</v>
      </c>
      <c r="J32" s="8" t="s">
        <v>17</v>
      </c>
      <c r="K32" s="52" t="s">
        <v>940</v>
      </c>
      <c r="L32" s="8" t="s">
        <v>25</v>
      </c>
    </row>
    <row r="33" spans="7:12" ht="30" customHeight="1" x14ac:dyDescent="0.25">
      <c r="G33" s="7" t="s">
        <v>73</v>
      </c>
      <c r="H33" s="8" t="s">
        <v>946</v>
      </c>
      <c r="I33" s="9" t="s">
        <v>947</v>
      </c>
      <c r="J33" s="8" t="s">
        <v>17</v>
      </c>
      <c r="K33" s="52" t="s">
        <v>940</v>
      </c>
      <c r="L33" s="8" t="s">
        <v>25</v>
      </c>
    </row>
    <row r="34" spans="7:12" ht="30" customHeight="1" x14ac:dyDescent="0.25">
      <c r="G34" s="7" t="s">
        <v>74</v>
      </c>
      <c r="H34" s="8" t="s">
        <v>948</v>
      </c>
      <c r="I34" s="9" t="s">
        <v>949</v>
      </c>
      <c r="J34" s="8" t="s">
        <v>950</v>
      </c>
      <c r="K34" s="52" t="s">
        <v>940</v>
      </c>
      <c r="L34" s="8" t="s">
        <v>25</v>
      </c>
    </row>
  </sheetData>
  <mergeCells count="3">
    <mergeCell ref="A1:E4"/>
    <mergeCell ref="G1:K1"/>
    <mergeCell ref="G2:K2"/>
  </mergeCells>
  <pageMargins left="0.7" right="0.7" top="0.75" bottom="0.75" header="0.3" footer="0.3"/>
  <pageSetup scale="51" fitToHeight="0" orientation="landscape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pageSetUpPr fitToPage="1"/>
  </sheetPr>
  <dimension ref="A1:Q156"/>
  <sheetViews>
    <sheetView tabSelected="1" zoomScale="73" zoomScaleNormal="73" workbookViewId="0">
      <selection activeCell="L28" sqref="L28"/>
    </sheetView>
  </sheetViews>
  <sheetFormatPr baseColWidth="10" defaultRowHeight="15" x14ac:dyDescent="0.25"/>
  <cols>
    <col min="2" max="2" width="34" customWidth="1"/>
    <col min="3" max="3" width="16.140625" customWidth="1"/>
    <col min="4" max="4" width="15.42578125" customWidth="1"/>
    <col min="5" max="5" width="17.85546875" customWidth="1"/>
    <col min="6" max="6" width="23.28515625" customWidth="1"/>
    <col min="7" max="7" width="23" style="37" customWidth="1"/>
    <col min="11" max="11" width="34.140625" customWidth="1"/>
    <col min="12" max="12" width="19.85546875" customWidth="1"/>
    <col min="13" max="13" width="16.85546875" customWidth="1"/>
    <col min="14" max="14" width="17" customWidth="1"/>
    <col min="15" max="15" width="25.7109375" customWidth="1"/>
    <col min="16" max="16" width="18.140625" customWidth="1"/>
    <col min="17" max="17" width="23.140625" customWidth="1"/>
  </cols>
  <sheetData>
    <row r="1" spans="1:8" ht="38.25" customHeight="1" x14ac:dyDescent="0.3">
      <c r="A1" s="14" t="s">
        <v>951</v>
      </c>
      <c r="B1" s="14"/>
      <c r="C1" s="14"/>
      <c r="D1" s="14"/>
      <c r="E1" s="14"/>
      <c r="F1" s="14"/>
    </row>
    <row r="3" spans="1:8" ht="30.75" customHeight="1" x14ac:dyDescent="0.25">
      <c r="A3" s="15" t="s">
        <v>4</v>
      </c>
      <c r="B3" s="15" t="s">
        <v>5</v>
      </c>
      <c r="C3" s="15" t="s">
        <v>76</v>
      </c>
      <c r="D3" s="15" t="s">
        <v>77</v>
      </c>
      <c r="E3" s="15" t="s">
        <v>78</v>
      </c>
      <c r="F3" s="16" t="s">
        <v>317</v>
      </c>
      <c r="G3" s="38"/>
      <c r="H3" s="17"/>
    </row>
    <row r="4" spans="1:8" ht="20.100000000000001" customHeight="1" x14ac:dyDescent="0.25">
      <c r="A4" s="8" t="s">
        <v>10</v>
      </c>
      <c r="B4" s="18" t="str">
        <f>'[1]CAYO SOMBRERO (23-08)'!H4</f>
        <v>JOSE ZARLENGO</v>
      </c>
      <c r="C4" s="19">
        <v>15</v>
      </c>
      <c r="D4" s="19">
        <v>15</v>
      </c>
      <c r="E4" s="20">
        <f t="shared" ref="E4:E34" si="0">C4-D4</f>
        <v>0</v>
      </c>
      <c r="F4" s="21"/>
    </row>
    <row r="5" spans="1:8" ht="20.100000000000001" customHeight="1" x14ac:dyDescent="0.25">
      <c r="A5" s="8" t="s">
        <v>16</v>
      </c>
      <c r="B5" s="18" t="str">
        <f>'[1]CAYO SOMBRERO (23-08)'!H5</f>
        <v>JOSE ZARLENGO</v>
      </c>
      <c r="C5" s="19">
        <v>15</v>
      </c>
      <c r="D5" s="19">
        <v>15</v>
      </c>
      <c r="E5" s="20">
        <f t="shared" si="0"/>
        <v>0</v>
      </c>
      <c r="F5" s="21"/>
    </row>
    <row r="6" spans="1:8" ht="20.100000000000001" customHeight="1" x14ac:dyDescent="0.25">
      <c r="A6" s="8" t="s">
        <v>18</v>
      </c>
      <c r="B6" s="18" t="str">
        <f>'[1]CAYO SOMBRERO (23-08)'!H6</f>
        <v>ALEJANDRA NOGUERA</v>
      </c>
      <c r="C6" s="19">
        <v>31</v>
      </c>
      <c r="D6" s="19">
        <v>31</v>
      </c>
      <c r="E6" s="20">
        <f t="shared" si="0"/>
        <v>0</v>
      </c>
      <c r="F6" s="21"/>
    </row>
    <row r="7" spans="1:8" ht="20.100000000000001" customHeight="1" x14ac:dyDescent="0.25">
      <c r="A7" s="8" t="s">
        <v>19</v>
      </c>
      <c r="B7" s="18" t="str">
        <f>'[1]CAYO SOMBRERO (23-08)'!H7</f>
        <v>GISSELL CARRILLO</v>
      </c>
      <c r="C7" s="19">
        <v>31</v>
      </c>
      <c r="D7" s="19">
        <v>31</v>
      </c>
      <c r="E7" s="20">
        <f t="shared" si="0"/>
        <v>0</v>
      </c>
      <c r="F7" s="21"/>
    </row>
    <row r="8" spans="1:8" ht="20.100000000000001" customHeight="1" x14ac:dyDescent="0.25">
      <c r="A8" s="8" t="s">
        <v>20</v>
      </c>
      <c r="B8" s="18" t="str">
        <f>'[1]CAYO SOMBRERO (23-08)'!H8</f>
        <v>ANNY HUMPHREY</v>
      </c>
      <c r="C8" s="19">
        <v>31</v>
      </c>
      <c r="D8" s="19">
        <v>31</v>
      </c>
      <c r="E8" s="20">
        <f t="shared" si="0"/>
        <v>0</v>
      </c>
      <c r="F8" s="21"/>
    </row>
    <row r="9" spans="1:8" ht="20.100000000000001" customHeight="1" x14ac:dyDescent="0.25">
      <c r="A9" s="8" t="s">
        <v>26</v>
      </c>
      <c r="B9" s="18" t="str">
        <f>'[1]CAYO SOMBRERO (23-08)'!H9</f>
        <v>HANNAH TARFF</v>
      </c>
      <c r="C9" s="19">
        <v>31</v>
      </c>
      <c r="D9" s="19">
        <v>31</v>
      </c>
      <c r="E9" s="20">
        <f t="shared" si="0"/>
        <v>0</v>
      </c>
      <c r="F9" s="21"/>
    </row>
    <row r="10" spans="1:8" ht="20.100000000000001" customHeight="1" x14ac:dyDescent="0.25">
      <c r="A10" s="8" t="s">
        <v>29</v>
      </c>
      <c r="B10" s="18" t="str">
        <f>'[1]CAYO SOMBRERO (23-08)'!H10</f>
        <v>DANIELVI NAVARRO</v>
      </c>
      <c r="C10" s="19">
        <v>31</v>
      </c>
      <c r="D10" s="19">
        <v>31</v>
      </c>
      <c r="E10" s="20">
        <f t="shared" si="0"/>
        <v>0</v>
      </c>
      <c r="F10" s="21"/>
    </row>
    <row r="11" spans="1:8" ht="20.100000000000001" customHeight="1" x14ac:dyDescent="0.25">
      <c r="A11" s="8" t="s">
        <v>30</v>
      </c>
      <c r="B11" s="18" t="str">
        <f>'[1]CAYO SOMBRERO (23-08)'!H11</f>
        <v>RONALD RONDON</v>
      </c>
      <c r="C11" s="19">
        <v>31</v>
      </c>
      <c r="D11" s="19">
        <v>31</v>
      </c>
      <c r="E11" s="20">
        <f t="shared" si="0"/>
        <v>0</v>
      </c>
      <c r="F11" s="21"/>
    </row>
    <row r="12" spans="1:8" ht="20.100000000000001" customHeight="1" x14ac:dyDescent="0.25">
      <c r="A12" s="8" t="s">
        <v>35</v>
      </c>
      <c r="B12" s="18" t="str">
        <f>'[1]CAYO SOMBRERO (23-08)'!H12</f>
        <v>ARIANYIE GIL</v>
      </c>
      <c r="C12" s="19">
        <v>31</v>
      </c>
      <c r="D12" s="19">
        <v>31</v>
      </c>
      <c r="E12" s="20">
        <f t="shared" si="0"/>
        <v>0</v>
      </c>
      <c r="F12" s="21"/>
    </row>
    <row r="13" spans="1:8" ht="20.100000000000001" customHeight="1" x14ac:dyDescent="0.25">
      <c r="A13" s="8" t="s">
        <v>36</v>
      </c>
      <c r="B13" s="18" t="str">
        <f>'[1]CAYO SOMBRERO (23-08)'!H13</f>
        <v>JUAN NUÑEZ</v>
      </c>
      <c r="C13" s="19">
        <v>31</v>
      </c>
      <c r="D13" s="19">
        <v>31</v>
      </c>
      <c r="E13" s="20">
        <f t="shared" si="0"/>
        <v>0</v>
      </c>
      <c r="F13" s="21"/>
    </row>
    <row r="14" spans="1:8" ht="20.100000000000001" customHeight="1" x14ac:dyDescent="0.25">
      <c r="A14" s="8" t="s">
        <v>37</v>
      </c>
      <c r="B14" s="18" t="str">
        <f>'[1]CAYO SOMBRERO (23-08)'!H14</f>
        <v>RUBEN</v>
      </c>
      <c r="C14" s="19"/>
      <c r="D14" s="19"/>
      <c r="E14" s="20">
        <f t="shared" si="0"/>
        <v>0</v>
      </c>
      <c r="F14" s="33" t="s">
        <v>952</v>
      </c>
    </row>
    <row r="15" spans="1:8" ht="20.100000000000001" customHeight="1" x14ac:dyDescent="0.25">
      <c r="A15" s="8" t="s">
        <v>42</v>
      </c>
      <c r="B15" s="18" t="str">
        <f>'[1]CAYO SOMBRERO (23-08)'!H15</f>
        <v>RUBEN</v>
      </c>
      <c r="C15" s="19">
        <v>31</v>
      </c>
      <c r="D15" s="19"/>
      <c r="E15" s="20">
        <f t="shared" si="0"/>
        <v>31</v>
      </c>
      <c r="F15" s="33" t="s">
        <v>543</v>
      </c>
    </row>
    <row r="16" spans="1:8" ht="20.100000000000001" customHeight="1" x14ac:dyDescent="0.25">
      <c r="A16" s="8" t="s">
        <v>46</v>
      </c>
      <c r="B16" s="18" t="str">
        <f>'[1]CAYO SOMBRERO (23-08)'!H16</f>
        <v>ASTRID URDANETA</v>
      </c>
      <c r="C16" s="19">
        <v>31</v>
      </c>
      <c r="D16" s="19">
        <v>31</v>
      </c>
      <c r="E16" s="20">
        <f t="shared" si="0"/>
        <v>0</v>
      </c>
      <c r="F16" s="21"/>
    </row>
    <row r="17" spans="1:6" ht="20.100000000000001" customHeight="1" x14ac:dyDescent="0.25">
      <c r="A17" s="8" t="s">
        <v>47</v>
      </c>
      <c r="B17" s="18" t="str">
        <f>'[1]CAYO SOMBRERO (23-08)'!H17</f>
        <v>ASTRID URDANETA</v>
      </c>
      <c r="C17" s="19">
        <v>31</v>
      </c>
      <c r="D17" s="19">
        <v>31</v>
      </c>
      <c r="E17" s="20">
        <f t="shared" si="0"/>
        <v>0</v>
      </c>
      <c r="F17" s="21"/>
    </row>
    <row r="18" spans="1:6" ht="20.100000000000001" customHeight="1" x14ac:dyDescent="0.25">
      <c r="A18" s="8" t="s">
        <v>48</v>
      </c>
      <c r="B18" s="18" t="str">
        <f>'[1]CAYO SOMBRERO (23-08)'!H18</f>
        <v>LENNY MENDOZA</v>
      </c>
      <c r="C18" s="19">
        <v>31</v>
      </c>
      <c r="D18" s="19">
        <v>31</v>
      </c>
      <c r="E18" s="20">
        <f t="shared" si="0"/>
        <v>0</v>
      </c>
      <c r="F18" s="21"/>
    </row>
    <row r="19" spans="1:6" ht="20.100000000000001" customHeight="1" x14ac:dyDescent="0.25">
      <c r="A19" s="8" t="s">
        <v>49</v>
      </c>
      <c r="B19" s="18" t="str">
        <f>'[1]CAYO SOMBRERO (23-08)'!H19</f>
        <v>JONNALYS GARCIA</v>
      </c>
      <c r="C19" s="19">
        <v>31</v>
      </c>
      <c r="D19" s="19">
        <v>31</v>
      </c>
      <c r="E19" s="20">
        <f t="shared" si="0"/>
        <v>0</v>
      </c>
      <c r="F19" s="21"/>
    </row>
    <row r="20" spans="1:6" ht="20.100000000000001" customHeight="1" x14ac:dyDescent="0.25">
      <c r="A20" s="8" t="s">
        <v>50</v>
      </c>
      <c r="B20" s="18" t="str">
        <f>'[1]CAYO SOMBRERO (23-08)'!H20</f>
        <v>KAMILA SUAREZ</v>
      </c>
      <c r="C20" s="19">
        <v>31</v>
      </c>
      <c r="D20" s="19">
        <v>31</v>
      </c>
      <c r="E20" s="20">
        <f t="shared" si="0"/>
        <v>0</v>
      </c>
      <c r="F20" s="21"/>
    </row>
    <row r="21" spans="1:6" ht="20.100000000000001" customHeight="1" x14ac:dyDescent="0.25">
      <c r="A21" s="8" t="s">
        <v>54</v>
      </c>
      <c r="B21" s="18" t="str">
        <f>'[1]CAYO SOMBRERO (23-08)'!H21</f>
        <v>JAMIER FIGUEREDO</v>
      </c>
      <c r="C21" s="19">
        <v>31</v>
      </c>
      <c r="D21" s="19">
        <v>31</v>
      </c>
      <c r="E21" s="20">
        <f t="shared" si="0"/>
        <v>0</v>
      </c>
      <c r="F21" s="21"/>
    </row>
    <row r="22" spans="1:6" ht="20.100000000000001" customHeight="1" x14ac:dyDescent="0.25">
      <c r="A22" s="8" t="s">
        <v>57</v>
      </c>
      <c r="B22" s="18" t="str">
        <f>'[1]CAYO SOMBRERO (23-08)'!H22</f>
        <v>KEINER MENDOZA</v>
      </c>
      <c r="C22" s="19">
        <v>31</v>
      </c>
      <c r="D22" s="19">
        <v>31</v>
      </c>
      <c r="E22" s="20">
        <f t="shared" si="0"/>
        <v>0</v>
      </c>
      <c r="F22" s="21"/>
    </row>
    <row r="23" spans="1:6" ht="20.100000000000001" customHeight="1" x14ac:dyDescent="0.25">
      <c r="A23" s="8" t="s">
        <v>61</v>
      </c>
      <c r="B23" s="18" t="str">
        <f>'[1]CAYO SOMBRERO (23-08)'!H23</f>
        <v>JAMINSON FIGUEREDO</v>
      </c>
      <c r="C23" s="19">
        <v>31</v>
      </c>
      <c r="D23" s="19">
        <v>31</v>
      </c>
      <c r="E23" s="20">
        <f t="shared" si="0"/>
        <v>0</v>
      </c>
      <c r="F23" s="21"/>
    </row>
    <row r="24" spans="1:6" ht="20.100000000000001" customHeight="1" x14ac:dyDescent="0.25">
      <c r="A24" s="8" t="s">
        <v>63</v>
      </c>
      <c r="B24" s="18" t="str">
        <f>'[1]CAYO SOMBRERO (23-08)'!H24</f>
        <v>TAHIS DOMINGUEZ</v>
      </c>
      <c r="C24" s="19">
        <v>31</v>
      </c>
      <c r="D24" s="19">
        <v>31</v>
      </c>
      <c r="E24" s="20">
        <f t="shared" si="0"/>
        <v>0</v>
      </c>
      <c r="F24" s="21"/>
    </row>
    <row r="25" spans="1:6" ht="20.100000000000001" customHeight="1" x14ac:dyDescent="0.25">
      <c r="A25" s="8" t="s">
        <v>64</v>
      </c>
      <c r="B25" s="18" t="str">
        <f>'[1]CAYO SOMBRERO (23-08)'!H25</f>
        <v>CLARIBEL CARMONA</v>
      </c>
      <c r="C25" s="19">
        <v>31</v>
      </c>
      <c r="D25" s="19">
        <v>31</v>
      </c>
      <c r="E25" s="20">
        <f t="shared" si="0"/>
        <v>0</v>
      </c>
      <c r="F25" s="21"/>
    </row>
    <row r="26" spans="1:6" ht="20.100000000000001" customHeight="1" x14ac:dyDescent="0.25">
      <c r="A26" s="8" t="s">
        <v>65</v>
      </c>
      <c r="B26" s="18" t="str">
        <f>'[1]CAYO SOMBRERO (23-08)'!H26</f>
        <v>DENEYER MELEAN</v>
      </c>
      <c r="C26" s="19">
        <v>31</v>
      </c>
      <c r="D26" s="19">
        <v>31</v>
      </c>
      <c r="E26" s="20">
        <f t="shared" si="0"/>
        <v>0</v>
      </c>
      <c r="F26" s="21"/>
    </row>
    <row r="27" spans="1:6" ht="20.100000000000001" customHeight="1" x14ac:dyDescent="0.25">
      <c r="A27" s="8" t="s">
        <v>67</v>
      </c>
      <c r="B27" s="18" t="str">
        <f>'[1]CAYO SOMBRERO (23-08)'!H27</f>
        <v>ROSAURA MARQUEZ</v>
      </c>
      <c r="C27" s="19">
        <v>31</v>
      </c>
      <c r="D27" s="19">
        <v>31</v>
      </c>
      <c r="E27" s="20">
        <f t="shared" si="0"/>
        <v>0</v>
      </c>
      <c r="F27" s="21"/>
    </row>
    <row r="28" spans="1:6" ht="20.100000000000001" customHeight="1" x14ac:dyDescent="0.25">
      <c r="A28" s="8" t="s">
        <v>68</v>
      </c>
      <c r="B28" s="18" t="str">
        <f>'[1]CAYO SOMBRERO (23-08)'!H28</f>
        <v>DANIELA CAMACHO</v>
      </c>
      <c r="C28" s="19">
        <v>31</v>
      </c>
      <c r="D28" s="19">
        <v>31</v>
      </c>
      <c r="E28" s="20">
        <f t="shared" si="0"/>
        <v>0</v>
      </c>
      <c r="F28" s="21"/>
    </row>
    <row r="29" spans="1:6" ht="20.100000000000001" customHeight="1" x14ac:dyDescent="0.25">
      <c r="A29" s="8" t="s">
        <v>69</v>
      </c>
      <c r="B29" s="18" t="str">
        <f>'[1]CAYO SOMBRERO (23-08)'!H29</f>
        <v>YEIKER CHACON</v>
      </c>
      <c r="C29" s="19">
        <v>31</v>
      </c>
      <c r="D29" s="19">
        <v>31</v>
      </c>
      <c r="E29" s="20">
        <f t="shared" si="0"/>
        <v>0</v>
      </c>
      <c r="F29" s="21"/>
    </row>
    <row r="30" spans="1:6" ht="20.100000000000001" customHeight="1" x14ac:dyDescent="0.25">
      <c r="A30" s="8" t="s">
        <v>70</v>
      </c>
      <c r="B30" s="18" t="str">
        <f>'[1]CAYO SOMBRERO (23-08)'!H30</f>
        <v>YERALDYN LOPEZ</v>
      </c>
      <c r="C30" s="19">
        <v>31</v>
      </c>
      <c r="D30" s="19">
        <v>31</v>
      </c>
      <c r="E30" s="20">
        <f t="shared" si="0"/>
        <v>0</v>
      </c>
      <c r="F30" s="21"/>
    </row>
    <row r="31" spans="1:6" ht="20.100000000000001" customHeight="1" x14ac:dyDescent="0.25">
      <c r="A31" s="8" t="s">
        <v>71</v>
      </c>
      <c r="B31" s="18" t="str">
        <f>'[1]CAYO SOMBRERO (23-08)'!H31</f>
        <v>VICTORIA TERAN</v>
      </c>
      <c r="C31" s="19">
        <v>31</v>
      </c>
      <c r="D31" s="19">
        <v>31</v>
      </c>
      <c r="E31" s="20">
        <f t="shared" si="0"/>
        <v>0</v>
      </c>
      <c r="F31" s="21"/>
    </row>
    <row r="32" spans="1:6" ht="20.100000000000001" customHeight="1" x14ac:dyDescent="0.25">
      <c r="A32" s="8" t="s">
        <v>72</v>
      </c>
      <c r="B32" s="18" t="str">
        <f>'[1]CAYO SOMBRERO (23-08)'!H32</f>
        <v>ALEJANDRA LEO</v>
      </c>
      <c r="C32" s="19">
        <v>31</v>
      </c>
      <c r="D32" s="19">
        <v>31</v>
      </c>
      <c r="E32" s="20">
        <f t="shared" si="0"/>
        <v>0</v>
      </c>
      <c r="F32" s="21"/>
    </row>
    <row r="33" spans="1:17" ht="20.100000000000001" customHeight="1" x14ac:dyDescent="0.25">
      <c r="A33" s="8" t="s">
        <v>73</v>
      </c>
      <c r="B33" s="18" t="str">
        <f>'[1]CAYO SOMBRERO (23-08)'!H33</f>
        <v>ALEJANDRO LEO</v>
      </c>
      <c r="C33" s="19">
        <v>31</v>
      </c>
      <c r="D33" s="19">
        <v>31</v>
      </c>
      <c r="E33" s="20">
        <f t="shared" si="0"/>
        <v>0</v>
      </c>
      <c r="F33" s="21"/>
    </row>
    <row r="34" spans="1:17" ht="20.100000000000001" customHeight="1" x14ac:dyDescent="0.25">
      <c r="A34" s="8" t="s">
        <v>74</v>
      </c>
      <c r="B34" s="18" t="str">
        <f>'[1]CAYO SOMBRERO (23-08)'!H34</f>
        <v>ANALY VENEGAS</v>
      </c>
      <c r="C34" s="19">
        <v>31</v>
      </c>
      <c r="D34" s="19">
        <v>31</v>
      </c>
      <c r="E34" s="20">
        <f t="shared" si="0"/>
        <v>0</v>
      </c>
      <c r="F34" s="21"/>
    </row>
    <row r="35" spans="1:17" ht="20.100000000000001" customHeight="1" x14ac:dyDescent="0.25"/>
    <row r="36" spans="1:17" ht="20.100000000000001" customHeight="1" x14ac:dyDescent="0.25">
      <c r="B36" s="15" t="s">
        <v>79</v>
      </c>
      <c r="C36" s="22">
        <f>SUM(C4:C34)</f>
        <v>898</v>
      </c>
      <c r="D36" s="22">
        <f>SUM(D4:D34)</f>
        <v>867</v>
      </c>
      <c r="E36" s="22">
        <f>SUM(E4:E34)</f>
        <v>31</v>
      </c>
      <c r="F36" s="22">
        <f>SUM(F4:F34)</f>
        <v>0</v>
      </c>
    </row>
    <row r="48" spans="1:17" ht="29.25" customHeight="1" x14ac:dyDescent="0.45">
      <c r="A48" s="23" t="s">
        <v>80</v>
      </c>
      <c r="B48" s="23"/>
      <c r="C48" s="23"/>
      <c r="D48" s="23"/>
      <c r="E48" s="23"/>
      <c r="F48" s="23"/>
      <c r="G48" s="23"/>
      <c r="K48" s="23" t="s">
        <v>318</v>
      </c>
      <c r="L48" s="23"/>
      <c r="M48" s="23"/>
      <c r="N48" s="23"/>
      <c r="O48" s="23"/>
      <c r="P48" s="23"/>
      <c r="Q48" s="23"/>
    </row>
    <row r="49" spans="1:17" ht="30" customHeight="1" x14ac:dyDescent="0.25">
      <c r="A49" s="24" t="s">
        <v>4</v>
      </c>
      <c r="B49" s="24" t="s">
        <v>81</v>
      </c>
      <c r="C49" s="24" t="s">
        <v>77</v>
      </c>
      <c r="D49" s="24" t="s">
        <v>82</v>
      </c>
      <c r="E49" s="24" t="s">
        <v>83</v>
      </c>
      <c r="F49" s="24" t="s">
        <v>84</v>
      </c>
      <c r="G49" s="39" t="s">
        <v>85</v>
      </c>
      <c r="K49" s="24" t="s">
        <v>319</v>
      </c>
      <c r="L49" s="24" t="s">
        <v>320</v>
      </c>
      <c r="M49" s="24" t="s">
        <v>321</v>
      </c>
      <c r="N49" s="24" t="s">
        <v>83</v>
      </c>
      <c r="O49" s="24" t="s">
        <v>84</v>
      </c>
      <c r="P49" s="24" t="s">
        <v>85</v>
      </c>
      <c r="Q49" s="24" t="s">
        <v>9</v>
      </c>
    </row>
    <row r="50" spans="1:17" ht="20.100000000000001" customHeight="1" x14ac:dyDescent="0.25">
      <c r="A50" s="25" t="s">
        <v>36</v>
      </c>
      <c r="B50" s="26" t="s">
        <v>917</v>
      </c>
      <c r="C50" s="27"/>
      <c r="D50" s="26"/>
      <c r="E50" s="26">
        <v>93</v>
      </c>
      <c r="F50" s="26" t="s">
        <v>953</v>
      </c>
      <c r="G50" s="28">
        <v>46251</v>
      </c>
      <c r="H50" s="29"/>
      <c r="I50" s="30"/>
      <c r="J50" s="30"/>
      <c r="K50" s="83" t="s">
        <v>954</v>
      </c>
      <c r="L50" s="27">
        <v>1822.44</v>
      </c>
      <c r="M50" s="48">
        <v>911.22</v>
      </c>
      <c r="N50" s="48">
        <f>L50/M50</f>
        <v>2</v>
      </c>
      <c r="O50" s="48" t="s">
        <v>955</v>
      </c>
      <c r="P50" s="28">
        <v>46257</v>
      </c>
      <c r="Q50" s="83" t="s">
        <v>326</v>
      </c>
    </row>
    <row r="51" spans="1:17" ht="20.100000000000001" customHeight="1" x14ac:dyDescent="0.25">
      <c r="A51" s="25" t="s">
        <v>63</v>
      </c>
      <c r="B51" s="26" t="s">
        <v>917</v>
      </c>
      <c r="C51" s="27"/>
      <c r="D51" s="26"/>
      <c r="E51" s="26"/>
      <c r="F51" s="26"/>
      <c r="G51" s="28"/>
      <c r="H51" s="29"/>
      <c r="I51" s="30"/>
      <c r="J51" s="30"/>
      <c r="K51" s="83"/>
      <c r="L51" s="84"/>
      <c r="M51" s="84"/>
      <c r="N51" s="48">
        <v>28</v>
      </c>
      <c r="O51" s="48" t="s">
        <v>956</v>
      </c>
      <c r="P51" s="28">
        <v>46256</v>
      </c>
      <c r="Q51" s="83"/>
    </row>
    <row r="52" spans="1:17" ht="20.100000000000001" customHeight="1" x14ac:dyDescent="0.25">
      <c r="A52" s="25" t="s">
        <v>64</v>
      </c>
      <c r="B52" s="26" t="s">
        <v>917</v>
      </c>
      <c r="C52" s="27"/>
      <c r="D52" s="26"/>
      <c r="E52" s="26"/>
      <c r="F52" s="26"/>
      <c r="G52" s="28"/>
      <c r="H52" s="32"/>
      <c r="I52" s="32"/>
      <c r="J52" s="32"/>
      <c r="K52" s="48" t="s">
        <v>957</v>
      </c>
      <c r="L52" s="27">
        <v>14579.49</v>
      </c>
      <c r="M52" s="48">
        <v>911.22</v>
      </c>
      <c r="N52" s="48">
        <v>16</v>
      </c>
      <c r="O52" s="48" t="s">
        <v>958</v>
      </c>
      <c r="P52" s="28">
        <v>46257</v>
      </c>
      <c r="Q52" s="48" t="s">
        <v>326</v>
      </c>
    </row>
    <row r="53" spans="1:17" ht="20.100000000000001" customHeight="1" x14ac:dyDescent="0.25">
      <c r="H53" s="32"/>
      <c r="I53" s="32"/>
      <c r="J53" s="32"/>
      <c r="K53" s="48" t="s">
        <v>959</v>
      </c>
      <c r="L53" s="27">
        <v>14656.16</v>
      </c>
      <c r="M53" s="48" t="s">
        <v>960</v>
      </c>
      <c r="N53" s="48">
        <v>16</v>
      </c>
      <c r="O53" s="48" t="s">
        <v>961</v>
      </c>
      <c r="P53" s="28">
        <v>46258</v>
      </c>
      <c r="Q53" s="48" t="s">
        <v>326</v>
      </c>
    </row>
    <row r="54" spans="1:17" ht="20.100000000000001" customHeight="1" x14ac:dyDescent="0.25">
      <c r="H54" s="32"/>
      <c r="I54" s="32"/>
      <c r="J54" s="32"/>
    </row>
    <row r="55" spans="1:17" ht="20.100000000000001" customHeight="1" x14ac:dyDescent="0.25">
      <c r="H55" s="30"/>
      <c r="I55" s="30"/>
      <c r="J55" s="30"/>
    </row>
    <row r="56" spans="1:17" ht="20.100000000000001" customHeight="1" x14ac:dyDescent="0.25">
      <c r="A56" s="25" t="s">
        <v>48</v>
      </c>
      <c r="B56" s="26" t="s">
        <v>962</v>
      </c>
      <c r="C56" s="27"/>
      <c r="D56" s="26"/>
      <c r="E56" s="26">
        <v>50</v>
      </c>
      <c r="F56" s="26" t="s">
        <v>710</v>
      </c>
      <c r="G56" s="28">
        <v>46258</v>
      </c>
      <c r="H56" s="30"/>
      <c r="I56" s="30"/>
      <c r="J56" s="30"/>
    </row>
    <row r="57" spans="1:17" ht="20.100000000000001" customHeight="1" x14ac:dyDescent="0.25">
      <c r="A57" s="25" t="s">
        <v>49</v>
      </c>
      <c r="B57" s="26" t="s">
        <v>962</v>
      </c>
      <c r="C57" s="27">
        <v>25956</v>
      </c>
      <c r="D57" s="26">
        <f>C57/E57</f>
        <v>865.2</v>
      </c>
      <c r="E57" s="26">
        <v>30</v>
      </c>
      <c r="F57" s="26">
        <v>7931</v>
      </c>
      <c r="G57" s="28">
        <v>46239</v>
      </c>
      <c r="H57" s="32"/>
      <c r="I57" s="32"/>
      <c r="J57" s="32"/>
    </row>
    <row r="58" spans="1:17" ht="20.100000000000001" customHeight="1" x14ac:dyDescent="0.25">
      <c r="A58" s="25" t="s">
        <v>50</v>
      </c>
      <c r="B58" s="26" t="s">
        <v>962</v>
      </c>
      <c r="C58" s="27">
        <v>17457</v>
      </c>
      <c r="D58" s="26">
        <f>C58/E58</f>
        <v>872.85</v>
      </c>
      <c r="E58" s="26">
        <v>20</v>
      </c>
      <c r="F58" s="26" t="s">
        <v>963</v>
      </c>
      <c r="G58" s="28">
        <v>46240</v>
      </c>
      <c r="H58" s="32"/>
      <c r="I58" s="32"/>
      <c r="J58" s="32"/>
    </row>
    <row r="59" spans="1:17" ht="20.100000000000001" customHeight="1" x14ac:dyDescent="0.25">
      <c r="A59" s="25" t="s">
        <v>54</v>
      </c>
      <c r="B59" s="26" t="s">
        <v>962</v>
      </c>
      <c r="C59" s="27">
        <v>39900.629999999997</v>
      </c>
      <c r="D59" s="26">
        <v>906.83</v>
      </c>
      <c r="E59" s="26">
        <v>44</v>
      </c>
      <c r="F59" s="26" t="s">
        <v>964</v>
      </c>
      <c r="G59" s="28">
        <v>46254</v>
      </c>
      <c r="H59" s="32"/>
      <c r="I59" s="32"/>
      <c r="J59" s="32"/>
    </row>
    <row r="60" spans="1:17" ht="20.100000000000001" customHeight="1" x14ac:dyDescent="0.25">
      <c r="A60" s="25" t="s">
        <v>57</v>
      </c>
      <c r="B60" s="26" t="s">
        <v>962</v>
      </c>
      <c r="C60" s="27">
        <v>37634</v>
      </c>
      <c r="D60" s="26">
        <v>896.05</v>
      </c>
      <c r="E60" s="26">
        <v>42</v>
      </c>
      <c r="F60" s="26" t="s">
        <v>963</v>
      </c>
      <c r="G60" s="28">
        <v>46252</v>
      </c>
      <c r="H60" s="30"/>
      <c r="I60" s="30"/>
      <c r="J60" s="30"/>
    </row>
    <row r="61" spans="1:17" ht="20.100000000000001" customHeight="1" x14ac:dyDescent="0.25">
      <c r="A61" s="25" t="s">
        <v>61</v>
      </c>
      <c r="B61" s="26" t="s">
        <v>962</v>
      </c>
      <c r="C61" s="27"/>
      <c r="D61" s="26"/>
      <c r="E61" s="26"/>
      <c r="F61" s="26"/>
      <c r="G61" s="28"/>
      <c r="H61" s="30"/>
      <c r="I61" s="30"/>
      <c r="J61" s="30"/>
    </row>
    <row r="62" spans="1:17" ht="20.100000000000001" customHeight="1" x14ac:dyDescent="0.25">
      <c r="H62" s="30"/>
      <c r="I62" s="30"/>
      <c r="J62" s="30"/>
    </row>
    <row r="63" spans="1:17" ht="20.100000000000001" customHeight="1" x14ac:dyDescent="0.25">
      <c r="H63" s="32"/>
      <c r="I63" s="32"/>
      <c r="J63" s="32"/>
    </row>
    <row r="64" spans="1:17" ht="20.100000000000001" customHeight="1" x14ac:dyDescent="0.25">
      <c r="H64" s="32"/>
      <c r="I64" s="32"/>
      <c r="J64" s="32"/>
    </row>
    <row r="65" spans="1:10" ht="20.100000000000001" customHeight="1" x14ac:dyDescent="0.25">
      <c r="A65" s="25" t="s">
        <v>68</v>
      </c>
      <c r="B65" s="26" t="s">
        <v>965</v>
      </c>
      <c r="C65" s="27">
        <v>17789.080000000002</v>
      </c>
      <c r="D65" s="26">
        <v>889.45</v>
      </c>
      <c r="E65" s="26">
        <v>20</v>
      </c>
      <c r="F65" s="26" t="s">
        <v>966</v>
      </c>
      <c r="G65" s="28">
        <v>46249</v>
      </c>
      <c r="H65" s="32"/>
      <c r="I65" s="30"/>
      <c r="J65" s="30"/>
    </row>
    <row r="66" spans="1:10" ht="20.100000000000001" customHeight="1" x14ac:dyDescent="0.25">
      <c r="A66" s="25" t="s">
        <v>69</v>
      </c>
      <c r="B66" s="26" t="s">
        <v>965</v>
      </c>
      <c r="C66" s="27">
        <v>18224.36</v>
      </c>
      <c r="D66" s="26">
        <v>911.22</v>
      </c>
      <c r="E66" s="26">
        <v>20</v>
      </c>
      <c r="F66" s="26" t="s">
        <v>967</v>
      </c>
      <c r="G66" s="28">
        <v>46255</v>
      </c>
      <c r="H66" s="32"/>
      <c r="I66" s="30"/>
      <c r="J66" s="30"/>
    </row>
    <row r="67" spans="1:10" ht="20.100000000000001" customHeight="1" x14ac:dyDescent="0.25">
      <c r="C67" s="27"/>
      <c r="D67" s="26"/>
      <c r="E67" s="26">
        <v>50</v>
      </c>
      <c r="F67" s="26" t="s">
        <v>956</v>
      </c>
      <c r="G67" s="28">
        <v>46256</v>
      </c>
      <c r="H67" s="85" t="s">
        <v>968</v>
      </c>
      <c r="I67" s="86"/>
      <c r="J67" s="86"/>
    </row>
    <row r="68" spans="1:10" ht="20.100000000000001" customHeight="1" x14ac:dyDescent="0.25">
      <c r="H68" s="32"/>
      <c r="I68" s="30"/>
      <c r="J68" s="30"/>
    </row>
    <row r="69" spans="1:10" ht="20.100000000000001" customHeight="1" x14ac:dyDescent="0.25">
      <c r="H69" s="32"/>
      <c r="I69" s="30"/>
      <c r="J69" s="30"/>
    </row>
    <row r="70" spans="1:10" ht="20.100000000000001" customHeight="1" x14ac:dyDescent="0.25">
      <c r="H70" s="32"/>
    </row>
    <row r="71" spans="1:10" ht="20.100000000000001" customHeight="1" x14ac:dyDescent="0.25">
      <c r="A71" s="25" t="s">
        <v>70</v>
      </c>
      <c r="B71" s="26" t="s">
        <v>969</v>
      </c>
      <c r="C71" s="27">
        <v>28247.759999999998</v>
      </c>
      <c r="D71" s="26">
        <v>911.22</v>
      </c>
      <c r="E71" s="26">
        <v>31</v>
      </c>
      <c r="F71" s="26" t="s">
        <v>970</v>
      </c>
      <c r="G71" s="28">
        <v>46257</v>
      </c>
      <c r="H71" s="32"/>
    </row>
    <row r="72" spans="1:10" ht="20.100000000000001" customHeight="1" x14ac:dyDescent="0.25">
      <c r="A72" s="25" t="s">
        <v>71</v>
      </c>
      <c r="B72" s="26" t="s">
        <v>969</v>
      </c>
      <c r="C72" s="27">
        <v>84742</v>
      </c>
      <c r="D72" s="26">
        <v>911.22</v>
      </c>
      <c r="E72" s="26">
        <v>93</v>
      </c>
      <c r="F72" s="26" t="s">
        <v>971</v>
      </c>
      <c r="G72" s="28">
        <v>46258</v>
      </c>
      <c r="H72" s="32"/>
    </row>
    <row r="73" spans="1:10" ht="20.100000000000001" customHeight="1" x14ac:dyDescent="0.25">
      <c r="A73" s="25" t="s">
        <v>72</v>
      </c>
      <c r="B73" s="26" t="s">
        <v>969</v>
      </c>
      <c r="C73" s="27">
        <v>26380.5</v>
      </c>
      <c r="D73" s="26">
        <v>850.98</v>
      </c>
      <c r="E73" s="26">
        <v>31</v>
      </c>
      <c r="F73" s="26" t="s">
        <v>972</v>
      </c>
      <c r="G73" s="28">
        <v>46245</v>
      </c>
      <c r="H73" s="32"/>
    </row>
    <row r="74" spans="1:10" ht="20.100000000000001" customHeight="1" x14ac:dyDescent="0.25">
      <c r="A74" s="25" t="s">
        <v>73</v>
      </c>
      <c r="B74" s="26" t="s">
        <v>969</v>
      </c>
      <c r="C74" s="27"/>
      <c r="D74" s="26"/>
      <c r="E74" s="26"/>
      <c r="F74" s="26"/>
      <c r="G74" s="28"/>
      <c r="H74" s="32"/>
    </row>
    <row r="75" spans="1:10" ht="20.100000000000001" customHeight="1" x14ac:dyDescent="0.25">
      <c r="A75" s="25" t="s">
        <v>74</v>
      </c>
      <c r="B75" s="26" t="s">
        <v>969</v>
      </c>
      <c r="C75" s="27"/>
      <c r="D75" s="26"/>
      <c r="E75" s="26"/>
      <c r="F75" s="26"/>
      <c r="G75" s="28"/>
      <c r="H75" s="32"/>
    </row>
    <row r="76" spans="1:10" ht="20.100000000000001" customHeight="1" x14ac:dyDescent="0.25"/>
    <row r="77" spans="1:10" ht="20.100000000000001" customHeight="1" x14ac:dyDescent="0.25"/>
    <row r="78" spans="1:10" ht="20.100000000000001" customHeight="1" x14ac:dyDescent="0.25"/>
    <row r="79" spans="1:10" ht="20.100000000000001" customHeight="1" x14ac:dyDescent="0.25">
      <c r="A79" s="25" t="s">
        <v>46</v>
      </c>
      <c r="B79" s="26" t="s">
        <v>899</v>
      </c>
      <c r="C79" s="27">
        <v>55458.39</v>
      </c>
      <c r="D79" s="26">
        <v>894.49</v>
      </c>
      <c r="E79" s="26">
        <v>62</v>
      </c>
      <c r="F79" s="26" t="s">
        <v>973</v>
      </c>
      <c r="G79" s="28">
        <v>46251</v>
      </c>
    </row>
    <row r="80" spans="1:10" ht="20.100000000000001" customHeight="1" x14ac:dyDescent="0.25">
      <c r="A80" s="25" t="s">
        <v>47</v>
      </c>
      <c r="B80" s="26" t="s">
        <v>899</v>
      </c>
      <c r="C80" s="27"/>
      <c r="D80" s="26"/>
      <c r="E80" s="26"/>
      <c r="F80" s="26"/>
      <c r="G80" s="28"/>
    </row>
    <row r="81" spans="1:7" ht="20.100000000000001" customHeight="1" x14ac:dyDescent="0.25"/>
    <row r="82" spans="1:7" ht="20.100000000000001" customHeight="1" x14ac:dyDescent="0.25"/>
    <row r="83" spans="1:7" ht="20.100000000000001" customHeight="1" x14ac:dyDescent="0.25"/>
    <row r="84" spans="1:7" ht="20.100000000000001" customHeight="1" x14ac:dyDescent="0.25">
      <c r="A84" s="25" t="s">
        <v>20</v>
      </c>
      <c r="B84" s="26" t="s">
        <v>974</v>
      </c>
      <c r="C84" s="87" t="s">
        <v>975</v>
      </c>
      <c r="D84" s="88"/>
      <c r="E84" s="26">
        <v>55</v>
      </c>
      <c r="F84" s="26" t="s">
        <v>976</v>
      </c>
      <c r="G84" s="28">
        <v>46244</v>
      </c>
    </row>
    <row r="85" spans="1:7" ht="20.100000000000001" customHeight="1" x14ac:dyDescent="0.25">
      <c r="A85" s="25" t="s">
        <v>26</v>
      </c>
      <c r="B85" s="26" t="s">
        <v>974</v>
      </c>
      <c r="C85" s="27"/>
      <c r="D85" s="26"/>
      <c r="E85" s="26">
        <v>7</v>
      </c>
      <c r="F85" s="26" t="s">
        <v>977</v>
      </c>
      <c r="G85" s="28">
        <v>46255</v>
      </c>
    </row>
    <row r="86" spans="1:7" ht="20.100000000000001" customHeight="1" x14ac:dyDescent="0.25"/>
    <row r="87" spans="1:7" ht="20.100000000000001" customHeight="1" x14ac:dyDescent="0.25"/>
    <row r="88" spans="1:7" ht="20.100000000000001" customHeight="1" x14ac:dyDescent="0.25"/>
    <row r="89" spans="1:7" ht="20.100000000000001" customHeight="1" x14ac:dyDescent="0.25">
      <c r="A89" s="25" t="s">
        <v>18</v>
      </c>
      <c r="B89" s="26" t="s">
        <v>978</v>
      </c>
      <c r="C89" s="27">
        <v>19135.580000000002</v>
      </c>
      <c r="D89" s="26">
        <v>911.22</v>
      </c>
      <c r="E89" s="26">
        <v>21</v>
      </c>
      <c r="F89" s="26" t="s">
        <v>979</v>
      </c>
      <c r="G89" s="28">
        <v>46256</v>
      </c>
    </row>
    <row r="90" spans="1:7" ht="20.100000000000001" customHeight="1" x14ac:dyDescent="0.25">
      <c r="A90" s="25" t="s">
        <v>19</v>
      </c>
      <c r="B90" s="26" t="s">
        <v>980</v>
      </c>
      <c r="C90" s="27">
        <v>19135.580000000002</v>
      </c>
      <c r="D90" s="26">
        <v>911.22</v>
      </c>
      <c r="E90" s="26">
        <v>21</v>
      </c>
      <c r="F90" s="26" t="s">
        <v>981</v>
      </c>
      <c r="G90" s="28">
        <v>46257</v>
      </c>
    </row>
    <row r="91" spans="1:7" ht="20.100000000000001" customHeight="1" x14ac:dyDescent="0.25">
      <c r="C91" s="27">
        <v>18224.36</v>
      </c>
      <c r="D91" s="26">
        <v>911.22</v>
      </c>
      <c r="E91" s="26">
        <v>20</v>
      </c>
      <c r="F91" s="26" t="s">
        <v>982</v>
      </c>
      <c r="G91" s="28">
        <v>46255</v>
      </c>
    </row>
    <row r="92" spans="1:7" ht="20.100000000000001" customHeight="1" x14ac:dyDescent="0.25"/>
    <row r="93" spans="1:7" ht="20.100000000000001" customHeight="1" x14ac:dyDescent="0.25"/>
    <row r="94" spans="1:7" ht="20.100000000000001" customHeight="1" x14ac:dyDescent="0.25"/>
    <row r="95" spans="1:7" ht="20.100000000000001" customHeight="1" x14ac:dyDescent="0.25">
      <c r="A95" s="25" t="s">
        <v>65</v>
      </c>
      <c r="B95" s="26" t="s">
        <v>983</v>
      </c>
      <c r="C95" s="27">
        <v>17920.599999999999</v>
      </c>
      <c r="D95" s="26">
        <f>C95/E95</f>
        <v>896.03</v>
      </c>
      <c r="E95" s="26">
        <v>20</v>
      </c>
      <c r="F95" s="26" t="s">
        <v>984</v>
      </c>
      <c r="G95" s="28">
        <v>46252</v>
      </c>
    </row>
    <row r="96" spans="1:7" ht="20.100000000000001" customHeight="1" x14ac:dyDescent="0.25">
      <c r="A96" s="25" t="s">
        <v>67</v>
      </c>
      <c r="B96" s="26" t="s">
        <v>985</v>
      </c>
      <c r="C96" s="27">
        <v>38270.82</v>
      </c>
      <c r="D96" s="26">
        <v>911.22</v>
      </c>
      <c r="E96" s="26">
        <v>42</v>
      </c>
      <c r="F96" s="26" t="s">
        <v>986</v>
      </c>
      <c r="G96" s="28">
        <v>46256</v>
      </c>
    </row>
    <row r="97" spans="1:7" ht="20.100000000000001" customHeight="1" x14ac:dyDescent="0.25"/>
    <row r="98" spans="1:7" ht="20.100000000000001" customHeight="1" x14ac:dyDescent="0.25"/>
    <row r="99" spans="1:7" ht="20.100000000000001" customHeight="1" x14ac:dyDescent="0.25"/>
    <row r="100" spans="1:7" ht="20.100000000000001" customHeight="1" x14ac:dyDescent="0.25">
      <c r="A100" s="25" t="s">
        <v>29</v>
      </c>
      <c r="B100" s="26" t="s">
        <v>987</v>
      </c>
      <c r="C100" s="27"/>
      <c r="D100" s="26"/>
      <c r="E100" s="26">
        <v>62</v>
      </c>
      <c r="F100" s="26" t="s">
        <v>710</v>
      </c>
      <c r="G100" s="28">
        <v>46257</v>
      </c>
    </row>
    <row r="101" spans="1:7" ht="20.100000000000001" customHeight="1" x14ac:dyDescent="0.25">
      <c r="A101" s="25" t="s">
        <v>30</v>
      </c>
      <c r="B101" s="26" t="s">
        <v>987</v>
      </c>
      <c r="C101" s="27"/>
      <c r="D101" s="26"/>
      <c r="E101" s="26"/>
      <c r="F101" s="26"/>
      <c r="G101" s="28"/>
    </row>
    <row r="102" spans="1:7" ht="20.100000000000001" customHeight="1" x14ac:dyDescent="0.25"/>
    <row r="103" spans="1:7" ht="20.100000000000001" customHeight="1" x14ac:dyDescent="0.25"/>
    <row r="104" spans="1:7" ht="20.100000000000001" customHeight="1" x14ac:dyDescent="0.25"/>
    <row r="105" spans="1:7" ht="20.100000000000001" customHeight="1" x14ac:dyDescent="0.25">
      <c r="A105" s="25" t="s">
        <v>35</v>
      </c>
      <c r="B105" s="26" t="s">
        <v>988</v>
      </c>
      <c r="C105" s="27">
        <v>13668.27</v>
      </c>
      <c r="D105" s="26">
        <v>911.22</v>
      </c>
      <c r="E105" s="26">
        <v>15</v>
      </c>
      <c r="F105" s="26" t="s">
        <v>989</v>
      </c>
      <c r="G105" s="28">
        <v>46256</v>
      </c>
    </row>
    <row r="106" spans="1:7" ht="20.100000000000001" customHeight="1" x14ac:dyDescent="0.25">
      <c r="C106" s="27">
        <v>14579.49</v>
      </c>
      <c r="D106" s="26">
        <v>911.22</v>
      </c>
      <c r="E106" s="26">
        <v>16</v>
      </c>
      <c r="F106" s="26" t="s">
        <v>990</v>
      </c>
      <c r="G106" s="28">
        <v>46256</v>
      </c>
    </row>
    <row r="107" spans="1:7" ht="20.100000000000001" customHeight="1" x14ac:dyDescent="0.25"/>
    <row r="108" spans="1:7" ht="20.100000000000001" customHeight="1" x14ac:dyDescent="0.25"/>
    <row r="109" spans="1:7" ht="20.100000000000001" customHeight="1" x14ac:dyDescent="0.25"/>
    <row r="110" spans="1:7" ht="20.100000000000001" customHeight="1" x14ac:dyDescent="0.25">
      <c r="A110" s="25" t="s">
        <v>10</v>
      </c>
      <c r="B110" s="26" t="s">
        <v>869</v>
      </c>
      <c r="C110" s="27">
        <v>13668.27</v>
      </c>
      <c r="D110" s="26">
        <v>911.22</v>
      </c>
      <c r="E110" s="26">
        <v>15</v>
      </c>
      <c r="F110" s="26" t="s">
        <v>991</v>
      </c>
      <c r="G110" s="28">
        <v>46256</v>
      </c>
    </row>
    <row r="111" spans="1:7" ht="20.100000000000001" customHeight="1" x14ac:dyDescent="0.25">
      <c r="A111" s="25" t="s">
        <v>16</v>
      </c>
      <c r="B111" s="26" t="s">
        <v>869</v>
      </c>
      <c r="C111" s="27">
        <v>13668.27</v>
      </c>
      <c r="D111" s="26">
        <v>911.22</v>
      </c>
      <c r="E111" s="26">
        <v>15</v>
      </c>
      <c r="F111" s="26" t="s">
        <v>992</v>
      </c>
      <c r="G111" s="28">
        <v>46256</v>
      </c>
    </row>
    <row r="112" spans="1:7" ht="20.100000000000001" customHeight="1" x14ac:dyDescent="0.25"/>
    <row r="113" spans="1:10" ht="20.100000000000001" customHeight="1" x14ac:dyDescent="0.25"/>
    <row r="114" spans="1:10" ht="20.100000000000001" customHeight="1" x14ac:dyDescent="0.25"/>
    <row r="115" spans="1:10" ht="20.100000000000001" customHeight="1" x14ac:dyDescent="0.25">
      <c r="A115" s="25" t="s">
        <v>37</v>
      </c>
      <c r="B115" s="26" t="s">
        <v>897</v>
      </c>
      <c r="C115" s="27"/>
      <c r="D115" s="26"/>
      <c r="E115" s="26"/>
      <c r="F115" s="26"/>
      <c r="G115" s="28"/>
      <c r="H115" s="89" t="s">
        <v>543</v>
      </c>
      <c r="I115" s="89"/>
      <c r="J115" s="89"/>
    </row>
    <row r="116" spans="1:10" ht="20.100000000000001" customHeight="1" x14ac:dyDescent="0.25">
      <c r="A116" s="25" t="s">
        <v>42</v>
      </c>
      <c r="B116" s="26" t="s">
        <v>897</v>
      </c>
      <c r="C116" s="27"/>
      <c r="D116" s="26"/>
      <c r="E116" s="26"/>
      <c r="F116" s="26"/>
      <c r="G116" s="28"/>
      <c r="H116" s="89"/>
      <c r="I116" s="89"/>
      <c r="J116" s="89"/>
    </row>
    <row r="117" spans="1:10" ht="20.100000000000001" customHeight="1" x14ac:dyDescent="0.25"/>
    <row r="118" spans="1:10" ht="20.100000000000001" customHeight="1" x14ac:dyDescent="0.25"/>
    <row r="119" spans="1:10" ht="20.100000000000001" customHeight="1" x14ac:dyDescent="0.25"/>
    <row r="120" spans="1:10" ht="20.100000000000001" customHeight="1" x14ac:dyDescent="0.25">
      <c r="B120" s="26" t="s">
        <v>993</v>
      </c>
      <c r="C120" s="27">
        <v>8944.9</v>
      </c>
      <c r="D120" s="26">
        <v>894.49</v>
      </c>
      <c r="E120" s="26">
        <v>10</v>
      </c>
      <c r="F120" s="26" t="s">
        <v>994</v>
      </c>
      <c r="G120" s="28">
        <v>46251</v>
      </c>
      <c r="H120" s="89" t="s">
        <v>995</v>
      </c>
      <c r="I120" s="89"/>
      <c r="J120" s="89"/>
    </row>
    <row r="121" spans="1:10" ht="20.100000000000001" customHeight="1" x14ac:dyDescent="0.25">
      <c r="B121" s="26" t="s">
        <v>993</v>
      </c>
      <c r="C121" s="27"/>
      <c r="D121" s="26"/>
      <c r="E121" s="26"/>
      <c r="F121" s="26"/>
      <c r="G121" s="28"/>
      <c r="H121" s="89"/>
      <c r="I121" s="89"/>
      <c r="J121" s="89"/>
    </row>
    <row r="122" spans="1:10" ht="20.100000000000001" customHeight="1" x14ac:dyDescent="0.25"/>
    <row r="123" spans="1:10" ht="20.100000000000001" customHeight="1" x14ac:dyDescent="0.25"/>
    <row r="124" spans="1:10" ht="20.100000000000001" customHeight="1" x14ac:dyDescent="0.25"/>
    <row r="125" spans="1:10" ht="22.5" customHeight="1" x14ac:dyDescent="0.25">
      <c r="B125" s="26" t="s">
        <v>996</v>
      </c>
      <c r="C125" s="27"/>
      <c r="D125" s="26"/>
      <c r="E125" s="26">
        <v>48</v>
      </c>
      <c r="F125" s="26" t="s">
        <v>997</v>
      </c>
      <c r="G125" s="28">
        <v>46252</v>
      </c>
      <c r="H125" s="89" t="s">
        <v>998</v>
      </c>
      <c r="I125" s="89"/>
      <c r="J125" s="89"/>
    </row>
    <row r="126" spans="1:10" ht="23.25" customHeight="1" x14ac:dyDescent="0.25">
      <c r="B126" s="26" t="s">
        <v>996</v>
      </c>
      <c r="C126" s="27"/>
      <c r="D126" s="26"/>
      <c r="E126" s="26"/>
      <c r="F126" s="26"/>
      <c r="G126" s="28"/>
      <c r="H126" s="89"/>
      <c r="I126" s="89"/>
      <c r="J126" s="89"/>
    </row>
    <row r="127" spans="1:10" ht="20.100000000000001" customHeight="1" x14ac:dyDescent="0.25"/>
    <row r="128" spans="1:10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</sheetData>
  <mergeCells count="10">
    <mergeCell ref="C84:D84"/>
    <mergeCell ref="H115:J116"/>
    <mergeCell ref="H120:J121"/>
    <mergeCell ref="H125:J126"/>
    <mergeCell ref="A1:F1"/>
    <mergeCell ref="A48:G48"/>
    <mergeCell ref="K48:Q48"/>
    <mergeCell ref="K50:K51"/>
    <mergeCell ref="Q50:Q51"/>
    <mergeCell ref="H67:J67"/>
  </mergeCells>
  <pageMargins left="0.7" right="0.7" top="0.75" bottom="0.75" header="0.3" footer="0.3"/>
  <pageSetup scale="7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CAYO MUERTO (01-08)</vt:lpstr>
      <vt:lpstr>COBRANZA CAYO MUERTO (01-08)</vt:lpstr>
      <vt:lpstr>DUNAS (01-08)</vt:lpstr>
      <vt:lpstr>COBRANZA DUNAS (01-08)</vt:lpstr>
      <vt:lpstr>CUBIRO (02-08)</vt:lpstr>
      <vt:lpstr>COBRANZA CUBIRO (02-08)</vt:lpstr>
      <vt:lpstr>VARADERO (08-08)</vt:lpstr>
      <vt:lpstr>COBRANZA VARADERO (08-08)</vt:lpstr>
      <vt:lpstr>CAYO MUERTO (15-08)</vt:lpstr>
      <vt:lpstr>COBRANZA CAYO MUERTO (15-08)</vt:lpstr>
      <vt:lpstr>CAYO MUERTO 2 (15-08)</vt:lpstr>
      <vt:lpstr>COBRANZA CAYO MUERTO 2 (15-08)</vt:lpstr>
      <vt:lpstr>TOUR FALCON (15-08)</vt:lpstr>
      <vt:lpstr>COBRANZA TOUR FALCON (15-08)</vt:lpstr>
      <vt:lpstr>CASCADA DEL VINO (16-08)</vt:lpstr>
      <vt:lpstr>COBRANZA CASCADA VINO (16-08)</vt:lpstr>
      <vt:lpstr>PLAYA (22-08)</vt:lpstr>
      <vt:lpstr>COBRANZA PLAYA (22-08)</vt:lpstr>
      <vt:lpstr>LA GRIETA (22-08)</vt:lpstr>
      <vt:lpstr>COBRANZA GRIETA (22-08)</vt:lpstr>
      <vt:lpstr>CHORONI (22-08)</vt:lpstr>
      <vt:lpstr>COBRANZA CHORONI (22-08)</vt:lpstr>
      <vt:lpstr>CAYO SOMBRERO (23-08)</vt:lpstr>
      <vt:lpstr>COBRANZA CAYO SOMBRERO (23-08)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Inversiones OCJ Norte</dc:creator>
  <cp:lastModifiedBy>Inversiones OCJ Norte</cp:lastModifiedBy>
  <dcterms:created xsi:type="dcterms:W3CDTF">2015-06-05T18:17:20Z</dcterms:created>
  <dcterms:modified xsi:type="dcterms:W3CDTF">2026-09-16T14:48:05Z</dcterms:modified>
</cp:coreProperties>
</file>